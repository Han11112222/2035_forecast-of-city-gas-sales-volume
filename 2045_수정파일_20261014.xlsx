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2035판매량예측\"/>
    </mc:Choice>
  </mc:AlternateContent>
  <xr:revisionPtr revIDLastSave="0" documentId="8_{549B6EE2-E73F-4258-8FC4-432021835F59}" xr6:coauthVersionLast="47" xr6:coauthVersionMax="47" xr10:uidLastSave="{00000000-0000-0000-0000-000000000000}"/>
  <bookViews>
    <workbookView xWindow="-120" yWindow="-120" windowWidth="29040" windowHeight="15720" xr2:uid="{6CEB8DAA-E45E-4E33-ACF7-4DABAE4F315F}"/>
  </bookViews>
  <sheets>
    <sheet name="공급량,판매량case_204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</externalReferences>
  <definedNames>
    <definedName name="_" localSheetId="0">#REF!</definedName>
    <definedName name="_">#REF!</definedName>
    <definedName name="_?" localSheetId="0">#REF!</definedName>
    <definedName name="_?">#REF!</definedName>
    <definedName name="_?i" localSheetId="0">#REF!</definedName>
    <definedName name="_?i">#REF!</definedName>
    <definedName name="__?" localSheetId="0">#REF!</definedName>
    <definedName name="__?">#REF!</definedName>
    <definedName name="__?i" localSheetId="0">#REF!</definedName>
    <definedName name="__?i">#REF!</definedName>
    <definedName name="___?" localSheetId="0">#REF!</definedName>
    <definedName name="___?">#REF!</definedName>
    <definedName name="___?i" localSheetId="0">#REF!</definedName>
    <definedName name="___?i">#REF!</definedName>
    <definedName name="____?" localSheetId="0">#REF!</definedName>
    <definedName name="____?">#REF!</definedName>
    <definedName name="____?i" localSheetId="0">#REF!</definedName>
    <definedName name="____?i">#REF!</definedName>
    <definedName name="_______________" localSheetId="0">[2]물가변동3!#REF!</definedName>
    <definedName name="_______________">[2]물가변동3!#REF!</definedName>
    <definedName name="_____변___경___" localSheetId="0">[2]물가변동3!#REF!</definedName>
    <definedName name="_____변___경___">[2]물가변동3!#REF!</definedName>
    <definedName name="_____조__정__일" localSheetId="0">[2]물가변동3!#REF!</definedName>
    <definedName name="_____조__정__일">[2]물가변동3!#REF!</definedName>
    <definedName name="____G102" localSheetId="0">#REF!</definedName>
    <definedName name="____G102">#REF!</definedName>
    <definedName name="____New2" localSheetId="0">#REF!</definedName>
    <definedName name="____New2">#REF!</definedName>
    <definedName name="___G102" localSheetId="0">#REF!</definedName>
    <definedName name="___G102">#REF!</definedName>
    <definedName name="___mds_first_cell___" localSheetId="0">[3]Condition!#REF!</definedName>
    <definedName name="___mds_first_cell___">[3]Condition!#REF!</definedName>
    <definedName name="___mds_view_data___" localSheetId="0">[3]Condition!#REF!</definedName>
    <definedName name="___mds_view_data___">[3]Condition!#REF!</definedName>
    <definedName name="___New2" localSheetId="0">#REF!</definedName>
    <definedName name="___New2">#REF!</definedName>
    <definedName name="___합___계___E_" localSheetId="0">[2]물가변동3!#REF!</definedName>
    <definedName name="___합___계___E_">[2]물가변동3!#REF!</definedName>
    <definedName name="__av1" localSheetId="0">#REF!</definedName>
    <definedName name="__av1">#REF!</definedName>
    <definedName name="__CAD15" localSheetId="0">[4]일위대가표!#REF!</definedName>
    <definedName name="__CAD15">[4]일위대가표!#REF!</definedName>
    <definedName name="__CAD25" localSheetId="0">[4]일위대가표!#REF!</definedName>
    <definedName name="__CAD25">[4]일위대가표!#REF!</definedName>
    <definedName name="__G102" localSheetId="0">#REF!</definedName>
    <definedName name="__G102">#REF!</definedName>
    <definedName name="__IntlFixup" hidden="1">TRUE</definedName>
    <definedName name="__New2" localSheetId="0">#REF!</definedName>
    <definedName name="__New2">#REF!</definedName>
    <definedName name="__PVC200" localSheetId="0">[4]일위대가표!#REF!</definedName>
    <definedName name="__PVC200">[4]일위대가표!#REF!</definedName>
    <definedName name="__PVC250" localSheetId="0">[4]일위대가표!#REF!</definedName>
    <definedName name="__PVC250">[4]일위대가표!#REF!</definedName>
    <definedName name="__PVC28" localSheetId="0">[4]일위대가표!#REF!</definedName>
    <definedName name="__PVC28">[4]일위대가표!#REF!</definedName>
    <definedName name="__PVC36" localSheetId="0">[4]일위대가표!#REF!</definedName>
    <definedName name="__PVC36">[4]일위대가표!#REF!</definedName>
    <definedName name="__STL150" localSheetId="0">[4]일위대가표!#REF!</definedName>
    <definedName name="__STL150">[4]일위대가표!#REF!</definedName>
    <definedName name="_\D" localSheetId="0">#REF!</definedName>
    <definedName name="_\D">#REF!</definedName>
    <definedName name="_\X" localSheetId="0">#REF!</definedName>
    <definedName name="_\X">#REF!</definedName>
    <definedName name="_\Z">[5]결과조달!$GU$5658:$IV$7860</definedName>
    <definedName name="_1" localSheetId="0">#REF!</definedName>
    <definedName name="_1">#REF!</definedName>
    <definedName name="_1_?" localSheetId="0">#REF!</definedName>
    <definedName name="_1_?">#REF!</definedName>
    <definedName name="_10P1_" localSheetId="0">#REF!</definedName>
    <definedName name="_10P1_">#REF!</definedName>
    <definedName name="_11p11_" localSheetId="0">#REF!</definedName>
    <definedName name="_11p11_">#REF!</definedName>
    <definedName name="_12P2_" localSheetId="0">#REF!</definedName>
    <definedName name="_12P2_">#REF!</definedName>
    <definedName name="_14P3_" localSheetId="0">#REF!</definedName>
    <definedName name="_14P3_">#REF!</definedName>
    <definedName name="_15A">[6]가격조사서!$D$4:$D$11</definedName>
    <definedName name="_16P4_" localSheetId="0">#REF!</definedName>
    <definedName name="_16P4_">#REF!</definedName>
    <definedName name="_18P5_" localSheetId="0">#REF!</definedName>
    <definedName name="_18P5_">#REF!</definedName>
    <definedName name="_1공장" localSheetId="0">#REF!</definedName>
    <definedName name="_1공장">#REF!</definedName>
    <definedName name="_2">#N/A</definedName>
    <definedName name="_2_?i" localSheetId="0">#REF!</definedName>
    <definedName name="_2_?i">#REF!</definedName>
    <definedName name="_2023년계약월별건수">SUM((MONTH([7]!_2023년계약[계약월])=[8]참고1_공동주택현황!A$5)*1)</definedName>
    <definedName name="_2023년계약첫열순번">MATCH([8]참고1_공동주택현황!A$5,MONTH([7]!_2023년계약[계약월]),0)-1</definedName>
    <definedName name="_2023년공급월별건수">SUM((MONTH([7]!_2023년공급[공급월])=[8]참고1_공동주택현황!A$5)*1)</definedName>
    <definedName name="_2023년공급첫열순번">MATCH([8]참고1_공동주택현황!A$5,MONTH([7]!_2023년공급[공급월]),0)-1</definedName>
    <definedName name="_2024년계약월별건수">SUM((MONTH([7]!_2024년계약[계약월])=[8]참고1_공동주택현황!A$5)*1)</definedName>
    <definedName name="_2024년계약첫열순번">MATCH([8]참고1_공동주택현황!A$5,MONTH([7]!_2024년계약[계약월]),0)-1</definedName>
    <definedName name="_2024년공급월별건수">SUM((MONTH([7]!_2024년공급[공급월])=[8]참고1_공동주택현황!A$5)*1)</definedName>
    <definedName name="_2024년공급첫열순번">MATCH([8]참고1_공동주택현황!A$5, MONTH([7]!_2024년공급[공급월]),0)-1</definedName>
    <definedName name="_2025년계약월별건수">SUM((MONTH([7]!_2025년계약[계약월])=[8]참고1_공동주택현황!A$5)*1)</definedName>
    <definedName name="_2025년계약첫열순번">MATCH([8]참고1_공동주택현황!A$5,MONTH([7]!_2025년계약[계약월]),0)-1</definedName>
    <definedName name="_2025년공급월별건수">SUM((MONTH([7]!_2025년공급[공급월])=[8]참고1_공동주택현황!A$5)*1)</definedName>
    <definedName name="_2025년공급첫열순번">MATCH([8]참고1_공동주택현황!A$5, MONTH([7]!_2025년공급[공급월]),0)-1</definedName>
    <definedName name="_2026년계약월별건수">SUM((MONTH([7]!_2026년계약[계약월])=[8]참고1_공동주택현황!A$65)*1)</definedName>
    <definedName name="_2026년계약첫열순번">MATCH([8]참고1_공동주택현황!A$65,MONTH([7]!_2026년계약[계약월]),0)-1</definedName>
    <definedName name="_2026년공급월별건수">SUM((MONTH([7]!_2026년공급[공급월])=[8]참고1_공동주택현황!A$65)*1)</definedName>
    <definedName name="_2026년공급첫열순번">MATCH([8]참고1_공동주택현황!A$65,MONTH([7]!_2026년공급[공급월]),0)-1</definedName>
    <definedName name="_20P6_" localSheetId="0">#REF!</definedName>
    <definedName name="_20P6_">#REF!</definedName>
    <definedName name="_21P7_">'[9]118.세금과공과'!$A$46:$H$60</definedName>
    <definedName name="_22년요금단가표">'[10]분석(공급량및판매량))'!$P$161:$R$176</definedName>
    <definedName name="_2공장" localSheetId="0">#REF!</definedName>
    <definedName name="_2공장">#REF!</definedName>
    <definedName name="_3" localSheetId="0">#REF!</definedName>
    <definedName name="_3">#REF!</definedName>
    <definedName name="_3_?" localSheetId="0">#REF!</definedName>
    <definedName name="_3_?">#REF!</definedName>
    <definedName name="_3G102_" localSheetId="0">#REF!</definedName>
    <definedName name="_3G102_">#REF!</definedName>
    <definedName name="_3in7_" localSheetId="0">[11]Disclaimer!#REF!</definedName>
    <definedName name="_3in7_">[11]Disclaimer!#REF!</definedName>
    <definedName name="_3공장" localSheetId="0">#REF!</definedName>
    <definedName name="_3공장">#REF!</definedName>
    <definedName name="_4" localSheetId="0">#REF!</definedName>
    <definedName name="_4">#REF!</definedName>
    <definedName name="_4o2_" hidden="1">'[12]#REF'!$A$206:$Q$214</definedName>
    <definedName name="_6" localSheetId="0">#REF!</definedName>
    <definedName name="_6">#REF!</definedName>
    <definedName name="_6_?i" localSheetId="0">#REF!</definedName>
    <definedName name="_6_?i">#REF!</definedName>
    <definedName name="_7" localSheetId="0">#REF!</definedName>
    <definedName name="_7">#REF!</definedName>
    <definedName name="_9G102_" localSheetId="0">#REF!</definedName>
    <definedName name="_9G102_">#REF!</definedName>
    <definedName name="_A" localSheetId="0">#REF!</definedName>
    <definedName name="_A">#REF!</definedName>
    <definedName name="_DAN1" localSheetId="0">#REF!</definedName>
    <definedName name="_DAN1">#REF!</definedName>
    <definedName name="_DAN10" localSheetId="0">#REF!</definedName>
    <definedName name="_DAN10">#REF!</definedName>
    <definedName name="_DAN11" localSheetId="0">#REF!</definedName>
    <definedName name="_DAN11">#REF!</definedName>
    <definedName name="_DAN12" localSheetId="0">#REF!</definedName>
    <definedName name="_DAN12">#REF!</definedName>
    <definedName name="_DAN2" localSheetId="0">#REF!</definedName>
    <definedName name="_DAN2">#REF!</definedName>
    <definedName name="_DAN3" localSheetId="0">#REF!</definedName>
    <definedName name="_DAN3">#REF!</definedName>
    <definedName name="_DAN4" localSheetId="0">#REF!</definedName>
    <definedName name="_DAN4">#REF!</definedName>
    <definedName name="_DAN5" localSheetId="0">#REF!</definedName>
    <definedName name="_DAN5">#REF!</definedName>
    <definedName name="_DAN6" localSheetId="0">#REF!</definedName>
    <definedName name="_DAN6">#REF!</definedName>
    <definedName name="_DAN7" localSheetId="0">#REF!</definedName>
    <definedName name="_DAN7">#REF!</definedName>
    <definedName name="_DAN8" localSheetId="0">#REF!</definedName>
    <definedName name="_DAN8">#REF!</definedName>
    <definedName name="_DAN9" localSheetId="0">#REF!</definedName>
    <definedName name="_DAN9">#REF!</definedName>
    <definedName name="_DEN1" localSheetId="0">#REF!</definedName>
    <definedName name="_DEN1">#REF!</definedName>
    <definedName name="_DEN10" localSheetId="0">#REF!</definedName>
    <definedName name="_DEN10">#REF!</definedName>
    <definedName name="_DEN11" localSheetId="0">#REF!</definedName>
    <definedName name="_DEN11">#REF!</definedName>
    <definedName name="_DEN12" localSheetId="0">#REF!</definedName>
    <definedName name="_DEN12">#REF!</definedName>
    <definedName name="_DEN2" localSheetId="0">#REF!</definedName>
    <definedName name="_DEN2">#REF!</definedName>
    <definedName name="_DEN3" localSheetId="0">#REF!</definedName>
    <definedName name="_DEN3">#REF!</definedName>
    <definedName name="_DEN4" localSheetId="0">#REF!</definedName>
    <definedName name="_DEN4">#REF!</definedName>
    <definedName name="_DEN5" localSheetId="0">#REF!</definedName>
    <definedName name="_DEN5">#REF!</definedName>
    <definedName name="_DEN6" localSheetId="0">#REF!</definedName>
    <definedName name="_DEN6">#REF!</definedName>
    <definedName name="_DEN7" localSheetId="0">#REF!</definedName>
    <definedName name="_DEN7">#REF!</definedName>
    <definedName name="_DEN8" localSheetId="0">#REF!</definedName>
    <definedName name="_DEN8">#REF!</definedName>
    <definedName name="_DEN9" localSheetId="0">#REF!</definedName>
    <definedName name="_DEN9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xlnm._FilterDatabase" localSheetId="0" hidden="1">'공급량,판매량case_2045'!#REF!</definedName>
    <definedName name="_xlnm._FilterDatabase" hidden="1">#REF!</definedName>
    <definedName name="_G102" localSheetId="0">#REF!</definedName>
    <definedName name="_G102">#REF!</definedName>
    <definedName name="_G410436" localSheetId="0">#REF!</definedName>
    <definedName name="_G410436">#REF!</definedName>
    <definedName name="_inv3">'[11]#REF'!$A$1:$S$234</definedName>
    <definedName name="_inv4">'[11]#REF'!$A$1:$S$234</definedName>
    <definedName name="_JJ21">[13]중기일위대가!$J$25</definedName>
    <definedName name="_JK21">[13]중기일위대가!$K$25</definedName>
    <definedName name="_JN21">[13]중기일위대가!$I$25</definedName>
    <definedName name="_k1" localSheetId="0" hidden="1">[12]ST!#REF!</definedName>
    <definedName name="_k1" hidden="1">[12]ST!#REF!</definedName>
    <definedName name="_k2" localSheetId="0" hidden="1">[12]ST!#REF!</definedName>
    <definedName name="_k2" hidden="1">[12]ST!#REF!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YU1" localSheetId="0">#REF!</definedName>
    <definedName name="_KYU1">#REF!</definedName>
    <definedName name="_KYU10" localSheetId="0">#REF!</definedName>
    <definedName name="_KYU10">#REF!</definedName>
    <definedName name="_KYU11" localSheetId="0">#REF!</definedName>
    <definedName name="_KYU11">#REF!</definedName>
    <definedName name="_KYU12" localSheetId="0">#REF!</definedName>
    <definedName name="_KYU12">#REF!</definedName>
    <definedName name="_KYU2" localSheetId="0">#REF!</definedName>
    <definedName name="_KYU2">#REF!</definedName>
    <definedName name="_KYU3" localSheetId="0">#REF!</definedName>
    <definedName name="_KYU3">#REF!</definedName>
    <definedName name="_KYU4" localSheetId="0">#REF!</definedName>
    <definedName name="_KYU4">#REF!</definedName>
    <definedName name="_KYU5" localSheetId="0">#REF!</definedName>
    <definedName name="_KYU5">#REF!</definedName>
    <definedName name="_KYU6" localSheetId="0">#REF!</definedName>
    <definedName name="_KYU6">#REF!</definedName>
    <definedName name="_KYU7" localSheetId="0">#REF!</definedName>
    <definedName name="_KYU7">#REF!</definedName>
    <definedName name="_KYU8" localSheetId="0">#REF!</definedName>
    <definedName name="_KYU8">#REF!</definedName>
    <definedName name="_KYU9" localSheetId="0">#REF!</definedName>
    <definedName name="_KYU9">#REF!</definedName>
    <definedName name="_New2" localSheetId="0">#REF!</definedName>
    <definedName name="_New2">#REF!</definedName>
    <definedName name="_o2" hidden="1">'[12]#REF'!$A$206:$Q$214</definedName>
    <definedName name="_o3" hidden="1">'[12]#REF'!$A$206:$Q$214</definedName>
    <definedName name="_oo" localSheetId="0" hidden="1">'[12]#REF'!#REF!</definedName>
    <definedName name="_oo" hidden="1">'[12]#REF'!#REF!</definedName>
    <definedName name="_oo1" localSheetId="0" hidden="1">'[12]#REF'!#REF!</definedName>
    <definedName name="_oo1" hidden="1">'[12]#REF'!#REF!</definedName>
    <definedName name="_op" localSheetId="0" hidden="1">[12]ST!#REF!</definedName>
    <definedName name="_op" hidden="1">[12]ST!#REF!</definedName>
    <definedName name="_op1" localSheetId="0" hidden="1">[12]ST!#REF!</definedName>
    <definedName name="_op1" hidden="1">[12]ST!#REF!</definedName>
    <definedName name="_Order1" hidden="1">255</definedName>
    <definedName name="_Order2" hidden="1">0</definedName>
    <definedName name="_PRN2" localSheetId="0">#REF!</definedName>
    <definedName name="_PRN2">#REF!</definedName>
    <definedName name="_PRN3" localSheetId="0">#REF!</definedName>
    <definedName name="_PRN3">#REF!</definedName>
    <definedName name="_PRN4" localSheetId="0">#REF!</definedName>
    <definedName name="_PRN4">#REF!</definedName>
    <definedName name="_PRN6" localSheetId="0">#REF!</definedName>
    <definedName name="_PRN6">#REF!</definedName>
    <definedName name="_PRN7" localSheetId="0">#REF!</definedName>
    <definedName name="_PRN7">#REF!</definedName>
    <definedName name="_R69496">'[14]입출재고현황 (2)'!$R$62503</definedName>
    <definedName name="_R70000">'[14]입출재고현황 (2)'!$R$60007</definedName>
    <definedName name="_R80000">'[14]입출재고현황 (2)'!$R$20007</definedName>
    <definedName name="_R90000">'[14]입출재고현황 (2)'!$R$20007</definedName>
    <definedName name="_R99000">'[14]입출재고현황 (2)'!$R$11947</definedName>
    <definedName name="_Regression_Int" hidden="1">1</definedName>
    <definedName name="_REI1" localSheetId="0">#REF!</definedName>
    <definedName name="_REI1">#REF!</definedName>
    <definedName name="_REI10" localSheetId="0">#REF!</definedName>
    <definedName name="_REI10">#REF!</definedName>
    <definedName name="_REI11" localSheetId="0">#REF!</definedName>
    <definedName name="_REI11">#REF!</definedName>
    <definedName name="_REI12" localSheetId="0">#REF!</definedName>
    <definedName name="_REI12">#REF!</definedName>
    <definedName name="_REI2" localSheetId="0">#REF!</definedName>
    <definedName name="_REI2">#REF!</definedName>
    <definedName name="_REI3" localSheetId="0">#REF!</definedName>
    <definedName name="_REI3">#REF!</definedName>
    <definedName name="_REI4" localSheetId="0">#REF!</definedName>
    <definedName name="_REI4">#REF!</definedName>
    <definedName name="_REI5" localSheetId="0">#REF!</definedName>
    <definedName name="_REI5">#REF!</definedName>
    <definedName name="_REI6" localSheetId="0">#REF!</definedName>
    <definedName name="_REI6">#REF!</definedName>
    <definedName name="_REI7" localSheetId="0">#REF!</definedName>
    <definedName name="_REI7">#REF!</definedName>
    <definedName name="_REI8" localSheetId="0">#REF!</definedName>
    <definedName name="_REI8">#REF!</definedName>
    <definedName name="_REI9" localSheetId="0">#REF!</definedName>
    <definedName name="_REI9">#REF!</definedName>
    <definedName name="_s1" hidden="1">'[12]#REF'!$A$206:$Q$214</definedName>
    <definedName name="_s2" hidden="1">'[12]#REF'!$A$206:$Q$214</definedName>
    <definedName name="_sh2">[15]SG!$A$1:$G$961</definedName>
    <definedName name="_Sort" localSheetId="0" hidden="1">#REF!</definedName>
    <definedName name="_Sort" hidden="1">#REF!</definedName>
    <definedName name="_Table1_In1" hidden="1">[16]Sheet3!$F$45</definedName>
    <definedName name="_Table1_Out" hidden="1">[16]Sheet3!$F$45</definedName>
    <definedName name="_ui" hidden="1">'[12]#REF'!$A$206:$Q$214</definedName>
    <definedName name="_ui1" hidden="1">'[12]#REF'!$A$206:$Q$214</definedName>
    <definedName name="\\O" localSheetId="0">[17]견적대비표!#REF!</definedName>
    <definedName name="\\O">[17]견적대비표!#REF!</definedName>
    <definedName name="\0">#N/A</definedName>
    <definedName name="\a" localSheetId="0">#REF!</definedName>
    <definedName name="\a">#REF!</definedName>
    <definedName name="\b" localSheetId="0">#REF!</definedName>
    <definedName name="\b">#REF!</definedName>
    <definedName name="\c" localSheetId="0">[17]견적대비표!#REF!</definedName>
    <definedName name="\c">[17]견적대비표!#REF!</definedName>
    <definedName name="\d" localSheetId="0">[17]견적대비표!#REF!</definedName>
    <definedName name="\d">[17]견적대비표!#REF!</definedName>
    <definedName name="\e" localSheetId="0">#REF!</definedName>
    <definedName name="\e">#REF!</definedName>
    <definedName name="\f" localSheetId="0">[17]견적대비표!#REF!</definedName>
    <definedName name="\f">[17]견적대비표!#REF!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[17]견적대비표!#REF!</definedName>
    <definedName name="\i">[17]견적대비표!#REF!</definedName>
    <definedName name="\j" localSheetId="0">#REF!</definedName>
    <definedName name="\j">#REF!</definedName>
    <definedName name="\k" localSheetId="0">[18]약품공급2!#REF!</definedName>
    <definedName name="\k">[18]약품공급2!#REF!</definedName>
    <definedName name="\l" localSheetId="0">[18]약품공급2!#REF!</definedName>
    <definedName name="\l">[18]약품공급2!#REF!</definedName>
    <definedName name="\m" localSheetId="0">[17]견적대비표!#REF!</definedName>
    <definedName name="\m">[17]견적대비표!#REF!</definedName>
    <definedName name="\n" localSheetId="0">#REF!</definedName>
    <definedName name="\n">#REF!</definedName>
    <definedName name="\o" localSheetId="0">[17]견적대비표!#REF!</definedName>
    <definedName name="\o">[17]견적대비표!#REF!</definedName>
    <definedName name="\p" localSheetId="0">[17]견적대비표!#REF!</definedName>
    <definedName name="\p">[17]견적대비표!#REF!</definedName>
    <definedName name="\q" localSheetId="0">[17]견적대비표!#REF!</definedName>
    <definedName name="\q">[17]견적대비표!#REF!</definedName>
    <definedName name="\r" localSheetId="0">#REF!</definedName>
    <definedName name="\r">#REF!</definedName>
    <definedName name="\s">#N/A</definedName>
    <definedName name="\t" localSheetId="0">[19]문학간접!#REF!</definedName>
    <definedName name="\t">[19]문학간접!#REF!</definedName>
    <definedName name="\u" localSheetId="0">[19]문학간접!#REF!</definedName>
    <definedName name="\u">[19]문학간접!#REF!</definedName>
    <definedName name="\v" localSheetId="0">[17]견적대비표!#REF!</definedName>
    <definedName name="\v">[17]견적대비표!#REF!</definedName>
    <definedName name="\w" localSheetId="0">[17]견적대비표!#REF!</definedName>
    <definedName name="\w">[17]견적대비표!#REF!</definedName>
    <definedName name="\x" localSheetId="0">[17]견적대비표!#REF!</definedName>
    <definedName name="\x">[17]견적대비표!#REF!</definedName>
    <definedName name="\z" localSheetId="0">#REF!</definedName>
    <definedName name="\z">#REF!</definedName>
    <definedName name="√">"SQRT"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" localSheetId="0">[20]입찰안!#REF!</definedName>
    <definedName name="AAAAA">[20]입찰안!#REF!</definedName>
    <definedName name="AAAAAAAAA" localSheetId="0">[20]입찰안!#REF!</definedName>
    <definedName name="AAAAAAAAA">[20]입찰안!#REF!</definedName>
    <definedName name="AB" localSheetId="0">[21]전신전화가입권!#REF!</definedName>
    <definedName name="AB">[21]전신전화가입권!#REF!</definedName>
    <definedName name="ABC" localSheetId="0">#REF!</definedName>
    <definedName name="ABC">#REF!</definedName>
    <definedName name="Access_Button" hidden="1">"관로9701_ENG_List"</definedName>
    <definedName name="AccessDatabase" hidden="1">"D:\김상욱\기성\관로9701.mdb"</definedName>
    <definedName name="AD">#N/A</definedName>
    <definedName name="ALL">[22]Capital!$A$6:$R$12,[22]Capital!$A$36:$R$43,[22]Capital!$A$48:$R$59</definedName>
    <definedName name="AMP" localSheetId="0">#REF!</definedName>
    <definedName name="AMP">#REF!</definedName>
    <definedName name="ANODE" localSheetId="0">[4]일위대가표!#REF!</definedName>
    <definedName name="ANODE">[4]일위대가표!#REF!</definedName>
    <definedName name="ANODE재" localSheetId="0">[23]Sheet6!#REF!</definedName>
    <definedName name="ANODE재">[23]Sheet6!#REF!</definedName>
    <definedName name="ART" localSheetId="0">#REF!</definedName>
    <definedName name="ART">#REF!</definedName>
    <definedName name="AV" localSheetId="0">#REF!</definedName>
    <definedName name="AV">#REF!</definedName>
    <definedName name="AW" localSheetId="0">[20]입찰안!#REF!</definedName>
    <definedName name="AW">[20]입찰안!#REF!</definedName>
    <definedName name="az" localSheetId="0">[24]영업수익!#REF!</definedName>
    <definedName name="az">[24]영업수익!#REF!</definedName>
    <definedName name="b" localSheetId="0">[25]손익수정!#REF!</definedName>
    <definedName name="b">[25]손익수정!#REF!</definedName>
    <definedName name="ba" localSheetId="0">#REF!</definedName>
    <definedName name="ba">#REF!</definedName>
    <definedName name="balance_04" localSheetId="0">#REF!</definedName>
    <definedName name="balance_04">#REF!</definedName>
    <definedName name="bbb" localSheetId="0">[24]영업수익!#REF!</definedName>
    <definedName name="bbb">[24]영업수익!#REF!</definedName>
    <definedName name="bbbbb" localSheetId="0">[24]영업수익!#REF!</definedName>
    <definedName name="bbbbb">[24]영업수익!#REF!</definedName>
    <definedName name="bbbbbbb" localSheetId="0">[24]영업수익!#REF!</definedName>
    <definedName name="bbbbbbb">[24]영업수익!#REF!</definedName>
    <definedName name="bbbfff" localSheetId="0">[24]영업수익!#REF!</definedName>
    <definedName name="bbbfff">[24]영업수익!#REF!</definedName>
    <definedName name="bd" localSheetId="0">[24]영업수익!#REF!</definedName>
    <definedName name="bd">[24]영업수익!#REF!</definedName>
    <definedName name="BDCODE">#N/A</definedName>
    <definedName name="be" localSheetId="0">#REF!</definedName>
    <definedName name="be">#REF!</definedName>
    <definedName name="BEN" localSheetId="0">[4]일위대가표!#REF!</definedName>
    <definedName name="BEN">[4]일위대가표!#REF!</definedName>
    <definedName name="BLOCK01">#N/A</definedName>
    <definedName name="BLOCK02" localSheetId="0">#REF!</definedName>
    <definedName name="BLOCK02">#REF!</definedName>
    <definedName name="BLOCK03" localSheetId="0">#REF!</definedName>
    <definedName name="BLOCK03">#REF!</definedName>
    <definedName name="BLOCK04" localSheetId="0">#REF!</definedName>
    <definedName name="BLOCK04">#REF!</definedName>
    <definedName name="BONDING" localSheetId="0">[4]일위대가표!#REF!</definedName>
    <definedName name="BONDING">[4]일위대가표!#REF!</definedName>
    <definedName name="bot">[26]DESIGN!$I$51</definedName>
    <definedName name="bz" localSheetId="0">#REF!</definedName>
    <definedName name="bz">#REF!</definedName>
    <definedName name="C_" localSheetId="0">#REF!</definedName>
    <definedName name="C_">#REF!</definedName>
    <definedName name="CABLE22" localSheetId="0">[4]일위대가표!#REF!</definedName>
    <definedName name="CABLE22">[4]일위대가표!#REF!</definedName>
    <definedName name="CABLE38" localSheetId="0">[4]일위대가표!#REF!</definedName>
    <definedName name="CABLE38">[4]일위대가표!#REF!</definedName>
    <definedName name="CABLE8" localSheetId="0">[4]일위대가표!#REF!</definedName>
    <definedName name="CABLE8">[4]일위대가표!#REF!</definedName>
    <definedName name="CAL">#N/A</definedName>
    <definedName name="CALAA">#N/A</definedName>
    <definedName name="CALAB">#N/A</definedName>
    <definedName name="CALAC">#N/A</definedName>
    <definedName name="CALBA">#N/A</definedName>
    <definedName name="CALBB">#N/A</definedName>
    <definedName name="CALBC">#N/A</definedName>
    <definedName name="CALBD">#N/A</definedName>
    <definedName name="CALBE">#N/A</definedName>
    <definedName name="CALBF">#N/A</definedName>
    <definedName name="CALBG" localSheetId="0">#REF!</definedName>
    <definedName name="CALBG">#REF!</definedName>
    <definedName name="CALBH">#N/A</definedName>
    <definedName name="CALBI">#N/A</definedName>
    <definedName name="CALBJ">#N/A</definedName>
    <definedName name="CALBK">#N/A</definedName>
    <definedName name="CALBL">#N/A</definedName>
    <definedName name="CALCA">#N/A</definedName>
    <definedName name="CALCB">#N/A</definedName>
    <definedName name="CALCC" localSheetId="0">#REF!</definedName>
    <definedName name="CALCC">#REF!</definedName>
    <definedName name="CALCD">#N/A</definedName>
    <definedName name="CALCE" localSheetId="0">#REF!</definedName>
    <definedName name="CALCE">#REF!</definedName>
    <definedName name="cap_act01" localSheetId="0">#REF!</definedName>
    <definedName name="cap_act01">#REF!</definedName>
    <definedName name="cap_act01_cum" localSheetId="0">#REF!</definedName>
    <definedName name="cap_act01_cum">#REF!</definedName>
    <definedName name="cap_act02" localSheetId="0">#REF!</definedName>
    <definedName name="cap_act02">#REF!</definedName>
    <definedName name="cap_act02_cum" localSheetId="0">#REF!</definedName>
    <definedName name="cap_act02_cum">#REF!</definedName>
    <definedName name="cap_bud01" localSheetId="0">#REF!</definedName>
    <definedName name="cap_bud01">#REF!</definedName>
    <definedName name="cap_bud01_cum" localSheetId="0">#REF!</definedName>
    <definedName name="cap_bud01_cum">#REF!</definedName>
    <definedName name="cap_bud02" localSheetId="0">#REF!</definedName>
    <definedName name="cap_bud02">#REF!</definedName>
    <definedName name="cap_bud02_cum" localSheetId="0">#REF!</definedName>
    <definedName name="cap_bud02_cum">#REF!</definedName>
    <definedName name="cap_US_act01" localSheetId="0">#REF!</definedName>
    <definedName name="cap_US_act01">#REF!</definedName>
    <definedName name="cap_US_act01_cum" localSheetId="0">#REF!</definedName>
    <definedName name="cap_US_act01_cum">#REF!</definedName>
    <definedName name="cap_US_bud01" localSheetId="0">#REF!</definedName>
    <definedName name="cap_US_bud01">#REF!</definedName>
    <definedName name="cap_US_bud01_cum" localSheetId="0">#REF!</definedName>
    <definedName name="cap_US_bud01_cum">#REF!</definedName>
    <definedName name="CAPACITY">[27]Disclaimer!$D$27</definedName>
    <definedName name="catv" localSheetId="0">#REF!</definedName>
    <definedName name="catv">#REF!</definedName>
    <definedName name="CELL" localSheetId="0">[4]일위대가표!#REF!</definedName>
    <definedName name="CELL">[4]일위대가표!#REF!</definedName>
    <definedName name="cho" localSheetId="0">#REF!</definedName>
    <definedName name="cho">#REF!</definedName>
    <definedName name="CODE" localSheetId="0">#REF!</definedName>
    <definedName name="CODE">#REF!</definedName>
    <definedName name="COKE" localSheetId="0">[4]일위대가표!#REF!</definedName>
    <definedName name="COKE">[4]일위대가표!#REF!</definedName>
    <definedName name="costr" localSheetId="0">#REF!</definedName>
    <definedName name="costr">#REF!</definedName>
    <definedName name="CP내자" localSheetId="0">#REF!</definedName>
    <definedName name="CP내자">#REF!</definedName>
    <definedName name="CP외자" localSheetId="0">#REF!</definedName>
    <definedName name="CP외자">#REF!</definedName>
    <definedName name="CP출고" localSheetId="0">#REF!</definedName>
    <definedName name="CP출고">#REF!</definedName>
    <definedName name="_xlnm.Criteria" localSheetId="0">#REF!</definedName>
    <definedName name="_xlnm.Criteria">#REF!</definedName>
    <definedName name="Criteria_MI" localSheetId="0">#REF!</definedName>
    <definedName name="Criteria_MI">#REF!</definedName>
    <definedName name="CRT" localSheetId="0">#REF!</definedName>
    <definedName name="CRT">#REF!</definedName>
    <definedName name="CV38재" localSheetId="0">[23]Sheet6!#REF!</definedName>
    <definedName name="CV38재">[23]Sheet6!#REF!</definedName>
    <definedName name="CV8재" localSheetId="0">[23]Sheet6!#REF!</definedName>
    <definedName name="CV8재">[23]Sheet6!#REF!</definedName>
    <definedName name="CVCABLE22" localSheetId="0">[4]일위대가표!#REF!</definedName>
    <definedName name="CVCABLE22">[4]일위대가표!#REF!</definedName>
    <definedName name="D" localSheetId="0">#REF!</definedName>
    <definedName name="D">#REF!</definedName>
    <definedName name="DAN0" localSheetId="0">#REF!</definedName>
    <definedName name="DAN0">#REF!</definedName>
    <definedName name="DANGA" localSheetId="0">#REF!,#REF!</definedName>
    <definedName name="DANGA">#REF!,#REF!</definedName>
    <definedName name="DATA">'[28]내역서 '!$A$22:$BE$356</definedName>
    <definedName name="DATA_">'[28]내역서 '!$A$22:$BE$402</definedName>
    <definedName name="_xlnm.Database" localSheetId="0">'[11]#REF'!#REF!</definedName>
    <definedName name="_xlnm.Database">'[11]#REF'!#REF!</definedName>
    <definedName name="Database_MI" localSheetId="0">#REF!</definedName>
    <definedName name="Database_MI">#REF!</definedName>
    <definedName name="DATABASE류">'[29]내역(전체)'!$A$2:$F$238</definedName>
    <definedName name="date" localSheetId="0">#REF!</definedName>
    <definedName name="date">#REF!</definedName>
    <definedName name="DB" localSheetId="0">#REF!</definedName>
    <definedName name="DB">#REF!</definedName>
    <definedName name="DC.PIPE" localSheetId="0">[30]일위대가!#REF!</definedName>
    <definedName name="DC.PIPE">[30]일위대가!#REF!</definedName>
    <definedName name="DD">[20]입찰안!$P$3</definedName>
    <definedName name="ddd" hidden="1">{#N/A,#N/A,FALSE,"계약직(여)"}</definedName>
    <definedName name="DDDD">[20]입찰안!$P$3</definedName>
    <definedName name="DEMI1">#N/A</definedName>
    <definedName name="DEMI2">#N/A</definedName>
    <definedName name="DEN0" localSheetId="0">#REF!</definedName>
    <definedName name="DEN0">#REF!</definedName>
    <definedName name="Depo" localSheetId="0">#REF!</definedName>
    <definedName name="Depo">#REF!</definedName>
    <definedName name="detail">[11]Disclaimer!$D$24</definedName>
    <definedName name="detail_act01" localSheetId="0">#REF!</definedName>
    <definedName name="detail_act01">#REF!</definedName>
    <definedName name="detail_bud01" localSheetId="0">#REF!</definedName>
    <definedName name="detail_bud01">#REF!</definedName>
    <definedName name="dss" hidden="1">{#N/A,#N/A,FALSE,"골재소요량";#N/A,#N/A,FALSE,"골재소요량"}</definedName>
    <definedName name="E">#N/A</definedName>
    <definedName name="EARCA">#N/A</definedName>
    <definedName name="EARCB">#N/A</definedName>
    <definedName name="EB" localSheetId="0">#REF!</definedName>
    <definedName name="EB">#REF!</definedName>
    <definedName name="EDT">#N/A</definedName>
    <definedName name="ee" localSheetId="0" hidden="1">[16]ST!#REF!</definedName>
    <definedName name="ee" hidden="1">[16]ST!#REF!</definedName>
    <definedName name="ELECTRIC" localSheetId="0">[4]일위대가표!#REF!</definedName>
    <definedName name="ELECTRIC">[4]일위대가표!#REF!</definedName>
    <definedName name="ELG" localSheetId="0">#REF!</definedName>
    <definedName name="ELG">#REF!</definedName>
    <definedName name="EPOXY" localSheetId="0">[4]일위대가표!#REF!</definedName>
    <definedName name="EPOXY">[4]일위대가표!#REF!</definedName>
    <definedName name="Evaluate" localSheetId="0">'[31]페이징 배관배선'!#REF!</definedName>
    <definedName name="Evaluate">'[31]페이징 배관배선'!#REF!</definedName>
    <definedName name="ex_공통공사비" localSheetId="0">#REF!</definedName>
    <definedName name="ex_공통공사비">#REF!</definedName>
    <definedName name="ex_단위시설별공사비" localSheetId="0">#REF!</definedName>
    <definedName name="ex_단위시설별공사비">#REF!</definedName>
    <definedName name="ex_제잡비" localSheetId="0">#REF!</definedName>
    <definedName name="ex_제잡비">#REF!</definedName>
    <definedName name="execsumm" localSheetId="0">#REF!</definedName>
    <definedName name="execsumm">#REF!</definedName>
    <definedName name="E노8" localSheetId="0">#REF!</definedName>
    <definedName name="E노8">#REF!</definedName>
    <definedName name="f" localSheetId="0">[24]영업수익!#REF!</definedName>
    <definedName name="f">[24]영업수익!#REF!</definedName>
    <definedName name="F_DESC">#N/A</definedName>
    <definedName name="F_SIZE">#N/A</definedName>
    <definedName name="F_UNIT">#N/A</definedName>
    <definedName name="ff">[11]Disclaimer!$D$25</definedName>
    <definedName name="fg" localSheetId="0">'[32]1단계'!#REF!</definedName>
    <definedName name="fg">'[32]1단계'!#REF!</definedName>
    <definedName name="fgdkdkrkrkrkrkrkrkrkrkrkrkrkrkr" localSheetId="0">#REF!</definedName>
    <definedName name="fgdkdkrkrkrkrkrkrkrkrkrkrkrkrkr">#REF!</definedName>
    <definedName name="fgrkrkrkrkrkrkrkrkrkrkrkrkrkrkr" localSheetId="0">#REF!</definedName>
    <definedName name="fgrkrkrkrkrkrkrkrkrkrkrkrkrkrkr">#REF!</definedName>
    <definedName name="FILENAME" localSheetId="0">#REF!</definedName>
    <definedName name="FILENAME">#REF!</definedName>
    <definedName name="FLEX" localSheetId="0">[4]일위대가표!#REF!</definedName>
    <definedName name="FLEX">[4]일위대가표!#REF!</definedName>
    <definedName name="FLEX28C" localSheetId="0">[4]일위대가표!#REF!</definedName>
    <definedName name="FLEX28C">[4]일위대가표!#REF!</definedName>
    <definedName name="FO">#N/A</definedName>
    <definedName name="fsddfg" localSheetId="0">#REF!</definedName>
    <definedName name="fsddfg">#REF!</definedName>
    <definedName name="fsg" localSheetId="0">'[32]1단계'!#REF!</definedName>
    <definedName name="fsg">'[32]1단계'!#REF!</definedName>
    <definedName name="g" localSheetId="0">#REF!</definedName>
    <definedName name="g">#REF!</definedName>
    <definedName name="GA" localSheetId="0">#REF!</definedName>
    <definedName name="GA">#REF!</definedName>
    <definedName name="gfdgdgdf" localSheetId="0">#REF!</definedName>
    <definedName name="gfdgdgdf">#REF!</definedName>
    <definedName name="gfgdfg" localSheetId="0" hidden="1">[33]차액보증!#REF!</definedName>
    <definedName name="gfgdfg" hidden="1">[33]차액보증!#REF!</definedName>
    <definedName name="gfggfr" localSheetId="0">#REF!</definedName>
    <definedName name="gfggfr">#REF!</definedName>
    <definedName name="GGG" localSheetId="0" hidden="1">[12]ST!#REF!</definedName>
    <definedName name="GGG" hidden="1">[12]ST!#REF!</definedName>
    <definedName name="GROUNDING" localSheetId="0">[4]일위대가표!#REF!</definedName>
    <definedName name="GROUNDING">[4]일위대가표!#REF!</definedName>
    <definedName name="GROUNDINGCELL" localSheetId="0">[4]일위대가표!#REF!</definedName>
    <definedName name="GROUNDINGCELL">[4]일위대가표!#REF!</definedName>
    <definedName name="H">#N/A</definedName>
    <definedName name="H00_CEO" localSheetId="0">#REF!</definedName>
    <definedName name="H00_CEO">#REF!</definedName>
    <definedName name="H10_재부장" localSheetId="0">#REF!</definedName>
    <definedName name="H10_재부장">#REF!</definedName>
    <definedName name="H100x100x6x8t_단중" localSheetId="0">#REF!</definedName>
    <definedName name="H100x100x6x8t_단중">#REF!</definedName>
    <definedName name="H11_기획" localSheetId="0">#REF!</definedName>
    <definedName name="H11_기획">#REF!</definedName>
    <definedName name="H12_금융" localSheetId="0">#REF!</definedName>
    <definedName name="H12_금융">#REF!</definedName>
    <definedName name="H125x125x6.5x9t_단중" localSheetId="0">#REF!</definedName>
    <definedName name="H125x125x6.5x9t_단중">#REF!</definedName>
    <definedName name="H13_회계" localSheetId="0">#REF!</definedName>
    <definedName name="H13_회계">#REF!</definedName>
    <definedName name="H14_구매" localSheetId="0">#REF!</definedName>
    <definedName name="H14_구매">#REF!</definedName>
    <definedName name="H150x100x6x9t_단중" localSheetId="0">#REF!</definedName>
    <definedName name="H150x100x6x9t_단중">#REF!</definedName>
    <definedName name="H20_운부장" localSheetId="0">#REF!</definedName>
    <definedName name="H20_운부장">#REF!</definedName>
    <definedName name="H21_Genco" localSheetId="0">#REF!</definedName>
    <definedName name="H21_Genco">#REF!</definedName>
    <definedName name="H22_영업" localSheetId="0">#REF!</definedName>
    <definedName name="H22_영업">#REF!</definedName>
    <definedName name="H23_인사" localSheetId="0">#REF!</definedName>
    <definedName name="H23_인사">#REF!</definedName>
    <definedName name="H3300_인사팀" localSheetId="0">#REF!</definedName>
    <definedName name="H3300_인사팀">#REF!</definedName>
    <definedName name="hhh">[34]관람석제출!$A$4:$F$146</definedName>
    <definedName name="HIPVC28" localSheetId="0">[23]Sheet6!#REF!</definedName>
    <definedName name="HIPVC28">[23]Sheet6!#REF!</definedName>
    <definedName name="HIPVC36" localSheetId="0">[23]Sheet6!#REF!</definedName>
    <definedName name="HIPVC36">[23]Sheet6!#REF!</definedName>
    <definedName name="HM_공통" localSheetId="0">#REF!</definedName>
    <definedName name="HM_공통">#REF!</definedName>
    <definedName name="HSH" localSheetId="0">#REF!</definedName>
    <definedName name="HSH">#REF!</definedName>
    <definedName name="ht" localSheetId="0">'[35]RING WALL'!#REF!</definedName>
    <definedName name="ht">'[35]RING WALL'!#REF!</definedName>
    <definedName name="HTML_CodePage" hidden="1">949</definedName>
    <definedName name="HTML_Control" hidden="1">{"'220승압(공문첨부)'!$A$3:$E$123"}</definedName>
    <definedName name="HTML_Description" hidden="1">""</definedName>
    <definedName name="HTML_Email" hidden="1">"keppler@dava.kepco.co.kr"</definedName>
    <definedName name="HTML_Header" hidden="1">"220승압 기준단가(승압,계기분야)"</definedName>
    <definedName name="HTML_LastUpdate" hidden="1">"98-05-28"</definedName>
    <definedName name="HTML_LineAfter" hidden="1">FALSE</definedName>
    <definedName name="HTML_LineBefore" hidden="1">TRUE</definedName>
    <definedName name="HTML_Name" hidden="1">"이정렬"</definedName>
    <definedName name="HTML_OBDlg2" hidden="1">TRUE</definedName>
    <definedName name="HTML_OBDlg4" hidden="1">TRUE</definedName>
    <definedName name="HTML_OS" hidden="1">0</definedName>
    <definedName name="HTML_PathFile" hidden="1">"D:\My Documents\98기준단가.htm"</definedName>
    <definedName name="HTML_Title" hidden="1">"기준단가98상"</definedName>
    <definedName name="HV">#N/A</definedName>
    <definedName name="HYUNDAI" localSheetId="0">#REF!</definedName>
    <definedName name="HYUNDAI">#REF!</definedName>
    <definedName name="i_E" localSheetId="0">#REF!</definedName>
    <definedName name="i_E">#REF!</definedName>
    <definedName name="ibv" hidden="1">'[12]#REF'!$A$206:$Q$214</definedName>
    <definedName name="ID" localSheetId="0">#REF!,#REF!</definedName>
    <definedName name="ID">#REF!,#REF!</definedName>
    <definedName name="id_공통공사비" localSheetId="0">#REF!</definedName>
    <definedName name="id_공통공사비">#REF!</definedName>
    <definedName name="id_단위시설별_공사비" localSheetId="0">#REF!</definedName>
    <definedName name="id_단위시설별_공사비">#REF!</definedName>
    <definedName name="id_제잡비" localSheetId="0">#REF!</definedName>
    <definedName name="id_제잡비">#REF!</definedName>
    <definedName name="ID사용료" localSheetId="0">#REF!</definedName>
    <definedName name="ID사용료">#REF!</definedName>
    <definedName name="Impres_titres_MI" localSheetId="0">#REF!</definedName>
    <definedName name="Impres_titres_MI">#REF!</definedName>
    <definedName name="inc_act" localSheetId="0">#REF!</definedName>
    <definedName name="inc_act">#REF!</definedName>
    <definedName name="inc_act_cum" localSheetId="0">#REF!</definedName>
    <definedName name="inc_act_cum">#REF!</definedName>
    <definedName name="inc_act01" localSheetId="0">#REF!</definedName>
    <definedName name="inc_act01">#REF!</definedName>
    <definedName name="inc_act01_cum" localSheetId="0">#REF!</definedName>
    <definedName name="inc_act01_cum">#REF!</definedName>
    <definedName name="inc_bud_cum" localSheetId="0">#REF!</definedName>
    <definedName name="inc_bud_cum">#REF!</definedName>
    <definedName name="inc_bud01" localSheetId="0">#REF!</definedName>
    <definedName name="inc_bud01">#REF!</definedName>
    <definedName name="inc_bud01_cum" localSheetId="0">#REF!</definedName>
    <definedName name="inc_bud01_cum">#REF!</definedName>
    <definedName name="inc_bud01Feb" localSheetId="0">#REF!</definedName>
    <definedName name="inc_bud01Feb">#REF!</definedName>
    <definedName name="inc_bud01Feb_cum" localSheetId="0">#REF!</definedName>
    <definedName name="inc_bud01Feb_cum">#REF!</definedName>
    <definedName name="inc_US_act01" localSheetId="0">#REF!</definedName>
    <definedName name="inc_US_act01">#REF!</definedName>
    <definedName name="inc_US_act01_cum" localSheetId="0">#REF!</definedName>
    <definedName name="inc_US_act01_cum">#REF!</definedName>
    <definedName name="inc_US_bud01" localSheetId="0">#REF!</definedName>
    <definedName name="inc_US_bud01">#REF!</definedName>
    <definedName name="inc_US_bud01_cum" localSheetId="0">#REF!</definedName>
    <definedName name="inc_US_bud01_cum">#REF!</definedName>
    <definedName name="INPUT">[36]WORK!$A$22:$BE$381</definedName>
    <definedName name="inter" localSheetId="0">#REF!</definedName>
    <definedName name="inter">#REF!</definedName>
    <definedName name="interest1" localSheetId="0">#REF!</definedName>
    <definedName name="interest1">#REF!</definedName>
    <definedName name="interest2" localSheetId="0">#REF!</definedName>
    <definedName name="interest2">#REF!</definedName>
    <definedName name="inv" localSheetId="0" hidden="1">[12]ST!#REF!</definedName>
    <definedName name="inv" hidden="1">[12]ST!#REF!</definedName>
    <definedName name="ISO_정렬" localSheetId="0">[37]!ISO_정렬</definedName>
    <definedName name="ISO_정렬">[37]!ISO_정렬</definedName>
    <definedName name="item">'[28]내역서 '!$A$22:$IV$401</definedName>
    <definedName name="ITEM_">'[28]내역서 '!$A$22:$IV$401</definedName>
    <definedName name="ITNUM">#N/A</definedName>
    <definedName name="j" localSheetId="0">[24]영업수익!#REF!</definedName>
    <definedName name="j">[24]영업수익!#REF!</definedName>
    <definedName name="JUNCTION" localSheetId="0">[4]일위대가표!#REF!</definedName>
    <definedName name="JUNCTION">[4]일위대가표!#REF!</definedName>
    <definedName name="jwd" localSheetId="0">#REF!</definedName>
    <definedName name="jwd">#REF!</definedName>
    <definedName name="k" localSheetId="0">#REF!</definedName>
    <definedName name="k">#REF!</definedName>
    <definedName name="KA">[38]MOTOR!$B$61:$E$68</definedName>
    <definedName name="KIECO" localSheetId="0" hidden="1">[12]ST!#REF!</definedName>
    <definedName name="KIECO" hidden="1">[12]ST!#REF!</definedName>
    <definedName name="KIT" localSheetId="0">[4]일위대가표!#REF!</definedName>
    <definedName name="KIT">[4]일위대가표!#REF!</definedName>
    <definedName name="kkk" localSheetId="0">[39]퇴충기초!#REF!</definedName>
    <definedName name="kkk">[39]퇴충기초!#REF!</definedName>
    <definedName name="㎾_X_４_툠y" localSheetId="0">#REF!</definedName>
    <definedName name="㎾_X_４_툠y">#REF!</definedName>
    <definedName name="KYU0" localSheetId="0">#REF!</definedName>
    <definedName name="KYU0">#REF!</definedName>
    <definedName name="L">#N/A</definedName>
    <definedName name="line" localSheetId="0">#REF!</definedName>
    <definedName name="line">#REF!</definedName>
    <definedName name="line5191" localSheetId="0">#REF!</definedName>
    <definedName name="line5191">#REF!</definedName>
    <definedName name="ListDataArea0">#N/A</definedName>
    <definedName name="ListDataColHeadArea0">#N/A</definedName>
    <definedName name="LL">#N/A</definedName>
    <definedName name="LLLL" localSheetId="0">#REF!</definedName>
    <definedName name="LLLL">#REF!</definedName>
    <definedName name="LNG저위발열량" localSheetId="0">#REF!</definedName>
    <definedName name="LNG저위발열량">#REF!</definedName>
    <definedName name="LOAD_1" localSheetId="0">#REF!</definedName>
    <definedName name="LOAD_1">#REF!</definedName>
    <definedName name="LOAD_10" localSheetId="0">#REF!</definedName>
    <definedName name="LOAD_10">#REF!</definedName>
    <definedName name="LOAD_11" localSheetId="0">#REF!</definedName>
    <definedName name="LOAD_11">#REF!</definedName>
    <definedName name="LOAD_12" localSheetId="0">#REF!</definedName>
    <definedName name="LOAD_12">#REF!</definedName>
    <definedName name="LOAD_2" localSheetId="0">#REF!</definedName>
    <definedName name="LOAD_2">#REF!</definedName>
    <definedName name="LOAD_3" localSheetId="0">#REF!</definedName>
    <definedName name="LOAD_3">#REF!</definedName>
    <definedName name="LOAD_4" localSheetId="0">#REF!</definedName>
    <definedName name="LOAD_4">#REF!</definedName>
    <definedName name="LOAD_5" localSheetId="0">#REF!</definedName>
    <definedName name="LOAD_5">#REF!</definedName>
    <definedName name="LOAD_6" localSheetId="0">#REF!</definedName>
    <definedName name="LOAD_6">#REF!</definedName>
    <definedName name="LOAD_7" localSheetId="0">#REF!</definedName>
    <definedName name="LOAD_7">#REF!</definedName>
    <definedName name="LOAD_8" localSheetId="0">#REF!</definedName>
    <definedName name="LOAD_8">#REF!</definedName>
    <definedName name="LOAD_9" localSheetId="0">#REF!</definedName>
    <definedName name="LOAD_9">#REF!</definedName>
    <definedName name="LOAD_YEAR" localSheetId="0">#REF!</definedName>
    <definedName name="LOAD_YEAR">#REF!</definedName>
    <definedName name="LP구입" localSheetId="0">#REF!</definedName>
    <definedName name="LP구입">#REF!</definedName>
    <definedName name="LP출고" localSheetId="0">#REF!</definedName>
    <definedName name="LP출고">#REF!</definedName>
    <definedName name="LSWR저위발열량" localSheetId="0">#REF!</definedName>
    <definedName name="LSWR저위발열량">#REF!</definedName>
    <definedName name="L형옹벽" localSheetId="0">[30]일위대가!#REF!</definedName>
    <definedName name="L형옹벽">[30]일위대가!#REF!</definedName>
    <definedName name="M">#N/A</definedName>
    <definedName name="MA">#N/A</definedName>
    <definedName name="Macro10" localSheetId="0">[40]!Macro10</definedName>
    <definedName name="Macro10">[40]!Macro10</definedName>
    <definedName name="Macro12" localSheetId="0">[40]!Macro12</definedName>
    <definedName name="Macro12">[40]!Macro12</definedName>
    <definedName name="Macro13" localSheetId="0">[40]!Macro13</definedName>
    <definedName name="Macro13">[40]!Macro13</definedName>
    <definedName name="Macro14" localSheetId="0">[40]!Macro14</definedName>
    <definedName name="Macro14">[40]!Macro14</definedName>
    <definedName name="Macro2" localSheetId="0">[41]!Macro2</definedName>
    <definedName name="Macro2">[41]!Macro2</definedName>
    <definedName name="Macro3" localSheetId="0">[41]!Macro3</definedName>
    <definedName name="Macro3">[41]!Macro3</definedName>
    <definedName name="macro6" localSheetId="0">[42]!macro6</definedName>
    <definedName name="macro6">[42]!macro6</definedName>
    <definedName name="macro7" localSheetId="0">[42]!macro7</definedName>
    <definedName name="macro7">[42]!macro7</definedName>
    <definedName name="Macro8" localSheetId="0">[40]!Macro8</definedName>
    <definedName name="Macro8">[40]!Macro8</definedName>
    <definedName name="Macro9" localSheetId="0">[40]!Macro9</definedName>
    <definedName name="Macro9">[40]!Macro9</definedName>
    <definedName name="MG" localSheetId="0">[4]일위대가표!#REF!</definedName>
    <definedName name="MG">[4]일위대가표!#REF!</definedName>
    <definedName name="MgANODE" localSheetId="0">[4]일위대가표!#REF!</definedName>
    <definedName name="MgANODE">[4]일위대가표!#REF!</definedName>
    <definedName name="MIX_P" localSheetId="0">#REF!</definedName>
    <definedName name="MIX_P">#REF!</definedName>
    <definedName name="MIX_R" localSheetId="0">#REF!</definedName>
    <definedName name="MIX_R">#REF!</definedName>
    <definedName name="mmm">[43]c_balju!$A$1:$T$3763</definedName>
    <definedName name="mn" localSheetId="0">#REF!</definedName>
    <definedName name="mn">#REF!</definedName>
    <definedName name="MONEY" localSheetId="0">#REF!,#REF!</definedName>
    <definedName name="MONEY">#REF!,#REF!</definedName>
    <definedName name="month" localSheetId="0">#REF!</definedName>
    <definedName name="month">#REF!</definedName>
    <definedName name="month_01" localSheetId="0">#REF!</definedName>
    <definedName name="month_01">#REF!</definedName>
    <definedName name="MU" localSheetId="0">'[35]RING WALL'!#REF!</definedName>
    <definedName name="MU">'[35]RING WALL'!#REF!</definedName>
    <definedName name="N1075ㅁ5" localSheetId="0">#REF!</definedName>
    <definedName name="N1075ㅁ5">#REF!</definedName>
    <definedName name="NAME">[27]Disclaimer!$D$24</definedName>
    <definedName name="New" localSheetId="0">#REF!</definedName>
    <definedName name="New">#REF!</definedName>
    <definedName name="ＮＥＹＯＫ" localSheetId="0">#REF!</definedName>
    <definedName name="ＮＥＹＯＫ">#REF!</definedName>
    <definedName name="NO." localSheetId="0">#REF!</definedName>
    <definedName name="NO.">#REF!</definedName>
    <definedName name="O" localSheetId="0">#REF!</definedName>
    <definedName name="O">#REF!</definedName>
    <definedName name="om">[11]Disclaimer!$D$28</definedName>
    <definedName name="oo" localSheetId="0" hidden="1">'[12]#REF'!#REF!</definedName>
    <definedName name="oo" hidden="1">'[12]#REF'!#REF!</definedName>
    <definedName name="op" localSheetId="0" hidden="1">[12]ST!#REF!</definedName>
    <definedName name="op" hidden="1">[12]ST!#REF!</definedName>
    <definedName name="oper_act" localSheetId="0">#REF!</definedName>
    <definedName name="oper_act">#REF!</definedName>
    <definedName name="oper_act_cum" localSheetId="0">#REF!</definedName>
    <definedName name="oper_act_cum">#REF!</definedName>
    <definedName name="oper_bud_cum" localSheetId="0">#REF!</definedName>
    <definedName name="oper_bud_cum">#REF!</definedName>
    <definedName name="opr_act01" localSheetId="0">#REF!</definedName>
    <definedName name="opr_act01">#REF!</definedName>
    <definedName name="opr_act01_cum" localSheetId="0">#REF!</definedName>
    <definedName name="opr_act01_cum">#REF!</definedName>
    <definedName name="opr_bud01" localSheetId="0">#REF!</definedName>
    <definedName name="opr_bud01">#REF!</definedName>
    <definedName name="opr_bud01_cum" localSheetId="0">#REF!</definedName>
    <definedName name="opr_bud01_cum">#REF!</definedName>
    <definedName name="opr_bud01Feb" localSheetId="0">#REF!</definedName>
    <definedName name="opr_bud01Feb">#REF!</definedName>
    <definedName name="opr_bud01Feb_cum" localSheetId="0">#REF!</definedName>
    <definedName name="opr_bud01Feb_cum">#REF!</definedName>
    <definedName name="opr_US_act01" localSheetId="0">#REF!</definedName>
    <definedName name="opr_US_act01">#REF!</definedName>
    <definedName name="opr_US_act01_cum" localSheetId="0">#REF!</definedName>
    <definedName name="opr_US_act01_cum">#REF!</definedName>
    <definedName name="opr_US_bud01" localSheetId="0">#REF!</definedName>
    <definedName name="opr_US_bud01">#REF!</definedName>
    <definedName name="opr_US_bud01_cum" localSheetId="0">#REF!</definedName>
    <definedName name="opr_US_bud01_cum">#REF!</definedName>
    <definedName name="P" localSheetId="0">#REF!</definedName>
    <definedName name="P">#REF!</definedName>
    <definedName name="P10_발부장" localSheetId="0">#REF!</definedName>
    <definedName name="P10_발부장">#REF!</definedName>
    <definedName name="P11_공지" localSheetId="0">#REF!</definedName>
    <definedName name="P11_공지">#REF!</definedName>
    <definedName name="P11A" localSheetId="0">#REF!</definedName>
    <definedName name="P11A">#REF!</definedName>
    <definedName name="P12_발전" localSheetId="0">#REF!</definedName>
    <definedName name="P12_발전">#REF!</definedName>
    <definedName name="P13_정비" localSheetId="0">#REF!</definedName>
    <definedName name="P13_정비">#REF!</definedName>
    <definedName name="P1A" localSheetId="0">#REF!</definedName>
    <definedName name="P1A">#REF!</definedName>
    <definedName name="P1B" localSheetId="0">#REF!</definedName>
    <definedName name="P1B">#REF!</definedName>
    <definedName name="P1D" localSheetId="0">#REF!</definedName>
    <definedName name="P1D">#REF!</definedName>
    <definedName name="P20_기부장" localSheetId="0">#REF!</definedName>
    <definedName name="P20_기부장">#REF!</definedName>
    <definedName name="P21_기지" localSheetId="0">#REF!</definedName>
    <definedName name="P21_기지">#REF!</definedName>
    <definedName name="P21A" localSheetId="0">#REF!</definedName>
    <definedName name="P21A">#REF!</definedName>
    <definedName name="P22_엔지" localSheetId="0">#REF!</definedName>
    <definedName name="P22_엔지">#REF!</definedName>
    <definedName name="P23_교육" localSheetId="0">#REF!</definedName>
    <definedName name="P23_교육">#REF!</definedName>
    <definedName name="P2A" localSheetId="0">#REF!</definedName>
    <definedName name="P2A">#REF!</definedName>
    <definedName name="P2B" localSheetId="0">#REF!</definedName>
    <definedName name="P2B">#REF!</definedName>
    <definedName name="P2C" localSheetId="0">#REF!</definedName>
    <definedName name="P2C">#REF!</definedName>
    <definedName name="P2D" localSheetId="0">#REF!</definedName>
    <definedName name="P2D">#REF!</definedName>
    <definedName name="P3A" localSheetId="0">#REF!</definedName>
    <definedName name="P3A">#REF!</definedName>
    <definedName name="P3AA" localSheetId="0">#REF!</definedName>
    <definedName name="P3AA">#REF!</definedName>
    <definedName name="P4A" localSheetId="0">#REF!</definedName>
    <definedName name="P4A">#REF!</definedName>
    <definedName name="P4AA" localSheetId="0">#REF!</definedName>
    <definedName name="P4AA">#REF!</definedName>
    <definedName name="P5A" localSheetId="0">#REF!</definedName>
    <definedName name="P5A">#REF!</definedName>
    <definedName name="P5AA" localSheetId="0">#REF!</definedName>
    <definedName name="P5AA">#REF!</definedName>
    <definedName name="P6120_공지" localSheetId="0">#REF!</definedName>
    <definedName name="P6120_공지">#REF!</definedName>
    <definedName name="P6120_공지팀" localSheetId="0">#REF!</definedName>
    <definedName name="P6120_공지팀">#REF!</definedName>
    <definedName name="P6320_정비" localSheetId="0">#REF!</definedName>
    <definedName name="P6320_정비">#REF!</definedName>
    <definedName name="P6330_기계과" localSheetId="0">#REF!</definedName>
    <definedName name="P6330_기계과">#REF!</definedName>
    <definedName name="P6A" localSheetId="0">#REF!</definedName>
    <definedName name="P6A">#REF!</definedName>
    <definedName name="P6AA" localSheetId="0">#REF!</definedName>
    <definedName name="P6AA">#REF!</definedName>
    <definedName name="P7A" localSheetId="0">#REF!</definedName>
    <definedName name="P7A">#REF!</definedName>
    <definedName name="PAC">#N/A</definedName>
    <definedName name="PACB">#N/A</definedName>
    <definedName name="PACC">#N/A</definedName>
    <definedName name="PACD">#N/A</definedName>
    <definedName name="PARCA">#N/A</definedName>
    <definedName name="PH14_자재" localSheetId="0">#REF!</definedName>
    <definedName name="PH14_자재">#REF!</definedName>
    <definedName name="pictur" localSheetId="0">[44]배관자재!#REF!</definedName>
    <definedName name="pictur">[44]배관자재!#REF!</definedName>
    <definedName name="PLATE_12t_단중" localSheetId="0">#REF!</definedName>
    <definedName name="PLATE_12t_단중">#REF!</definedName>
    <definedName name="PLATE_19t_단중" localSheetId="0">#REF!</definedName>
    <definedName name="PLATE_19t_단중">#REF!</definedName>
    <definedName name="PLATE_6t_단중" localSheetId="0">#REF!</definedName>
    <definedName name="PLATE_6t_단중">#REF!</definedName>
    <definedName name="PLATE_9t_단중" localSheetId="0">#REF!</definedName>
    <definedName name="PLATE_9t_단중">#REF!</definedName>
    <definedName name="PLATE_OLD" localSheetId="0">#REF!</definedName>
    <definedName name="PLATE_OLD">#REF!</definedName>
    <definedName name="PM_공통" localSheetId="0">#REF!</definedName>
    <definedName name="PM_공통">#REF!</definedName>
    <definedName name="pname">[45]Input!$B$4</definedName>
    <definedName name="PP" localSheetId="0">#REF!</definedName>
    <definedName name="PP">#REF!</definedName>
    <definedName name="print" localSheetId="0">#REF!</definedName>
    <definedName name="print">#REF!</definedName>
    <definedName name="Print_" localSheetId="0">#REF!</definedName>
    <definedName name="Print_">#REF!</definedName>
    <definedName name="_xlnm.Print_Area" localSheetId="0">'공급량,판매량case_2045'!$B$1:$X$50</definedName>
    <definedName name="_xlnm.Print_Area">#REF!</definedName>
    <definedName name="PRINT_AREA_MI" localSheetId="0">#REF!</definedName>
    <definedName name="PRINT_AREA_MI">#REF!</definedName>
    <definedName name="PRINT_AREA_MI1" localSheetId="0">#REF!</definedName>
    <definedName name="PRINT_AREA_MI1">#REF!</definedName>
    <definedName name="Print_Area\C" localSheetId="0">#REF!</definedName>
    <definedName name="Print_Area\C">#REF!</definedName>
    <definedName name="PRINT_STYLE" localSheetId="0">[46]대공종!#REF!</definedName>
    <definedName name="PRINT_STYLE">[46]대공종!#REF!</definedName>
    <definedName name="print_styles" localSheetId="0">#REF!</definedName>
    <definedName name="print_styles">#REF!</definedName>
    <definedName name="PRINT_TITELS" localSheetId="0">[47]을!#REF!</definedName>
    <definedName name="PRINT_TITELS">[47]을!#REF!</definedName>
    <definedName name="print_titil" localSheetId="0">#REF!</definedName>
    <definedName name="print_titil">#REF!</definedName>
    <definedName name="Print_Titl" localSheetId="0">'[48]고액조정리스트(나)'!#REF!</definedName>
    <definedName name="Print_Titl">'[48]고액조정리스트(나)'!#REF!</definedName>
    <definedName name="Print_Title" localSheetId="0">'[48]고액조정리스트(나)'!#REF!</definedName>
    <definedName name="Print_Title">'[48]고액조정리스트(나)'!#REF!</definedName>
    <definedName name="_xlnm.Print_Titles" localSheetId="0">'[11]#REF'!#REF!</definedName>
    <definedName name="_xlnm.Print_Titles">'[11]#REF'!#REF!</definedName>
    <definedName name="PRINT_TITLES_MI" localSheetId="0">#REF!</definedName>
    <definedName name="PRINT_TITLES_MI">#REF!</definedName>
    <definedName name="PRINT_TITLES_MI1" localSheetId="0">#REF!</definedName>
    <definedName name="PRINT_TITLES_MI1">#REF!</definedName>
    <definedName name="PRINT_TITTLE" localSheetId="0">#REF!</definedName>
    <definedName name="PRINT_TITTLE">#REF!</definedName>
    <definedName name="PRINT_TNFFJ" localSheetId="0">#REF!</definedName>
    <definedName name="PRINT_TNFFJ">#REF!</definedName>
    <definedName name="PRINT2" localSheetId="0">#REF!</definedName>
    <definedName name="PRINT2">#REF!</definedName>
    <definedName name="PRINTTITLES" localSheetId="0">[49]기기공수!#REF!</definedName>
    <definedName name="PRINTTITLES">[49]기기공수!#REF!</definedName>
    <definedName name="PRT">#N/A</definedName>
    <definedName name="PVC28C" localSheetId="0">[4]일위대가표!#REF!</definedName>
    <definedName name="PVC28C">[4]일위대가표!#REF!</definedName>
    <definedName name="q" localSheetId="0">[24]영업수익!#REF!</definedName>
    <definedName name="q">[24]영업수익!#REF!</definedName>
    <definedName name="qq" hidden="1">{#N/A,#N/A,FALSE,"단가표지"}</definedName>
    <definedName name="qqq">'[11]#REF'!$A$1:$S$234</definedName>
    <definedName name="QTY">#N/A</definedName>
    <definedName name="questions" localSheetId="0">#REF!</definedName>
    <definedName name="questions">#REF!</definedName>
    <definedName name="qw" hidden="1">{#N/A,#N/A,FALSE,"단가표지"}</definedName>
    <definedName name="R_" localSheetId="0">#REF!</definedName>
    <definedName name="R_">#REF!</definedName>
    <definedName name="refinum">[50]assump!$D$512</definedName>
    <definedName name="REI0" localSheetId="0">#REF!</definedName>
    <definedName name="REI0">#REF!</definedName>
    <definedName name="RK" localSheetId="0">Dlog_Show</definedName>
    <definedName name="RK">Dlog_Show</definedName>
    <definedName name="RR" localSheetId="0">'[51]2000전체분'!#REF!</definedName>
    <definedName name="RR">'[51]2000전체분'!#REF!</definedName>
    <definedName name="S" localSheetId="0">#REF!</definedName>
    <definedName name="S">#REF!</definedName>
    <definedName name="SAV">#N/A</definedName>
    <definedName name="Sb" localSheetId="0">#REF!</definedName>
    <definedName name="Sb">#REF!</definedName>
    <definedName name="Scenario">[45]Input!$B$10</definedName>
    <definedName name="sdate" localSheetId="0">#REF!</definedName>
    <definedName name="sdate">#REF!</definedName>
    <definedName name="sf" localSheetId="0">#REF!</definedName>
    <definedName name="sf">#REF!</definedName>
    <definedName name="sg" localSheetId="0">[24]영업수익!#REF!</definedName>
    <definedName name="sg">[24]영업수익!#REF!</definedName>
    <definedName name="sh" localSheetId="0">[24]영업수익!#REF!</definedName>
    <definedName name="sh">[24]영업수익!#REF!</definedName>
    <definedName name="SK" localSheetId="0">Dlog_Show</definedName>
    <definedName name="SK">Dlog_Show</definedName>
    <definedName name="SODURTJ" localSheetId="0">Dlog_Show</definedName>
    <definedName name="SODURTJ">Dlog_Show</definedName>
    <definedName name="SORTCODE">#N/A</definedName>
    <definedName name="SPLICE" localSheetId="0">[4]일위대가표!#REF!</definedName>
    <definedName name="SPLICE">[4]일위대가표!#REF!</definedName>
    <definedName name="SPP_백__PIPE_100A_단중" localSheetId="0">#REF!</definedName>
    <definedName name="SPP_백__PIPE_100A_단중">#REF!</definedName>
    <definedName name="SPP_백__PIPE_125A_단중" localSheetId="0">#REF!</definedName>
    <definedName name="SPP_백__PIPE_125A_단중">#REF!</definedName>
    <definedName name="SPP_백__PIPE_150A_단중" localSheetId="0">#REF!</definedName>
    <definedName name="SPP_백__PIPE_150A_단중">#REF!</definedName>
    <definedName name="SPP_백__PIPE_15A_단중" localSheetId="0">#REF!</definedName>
    <definedName name="SPP_백__PIPE_15A_단중">#REF!</definedName>
    <definedName name="SPP_백__PIPE_200A_단중" localSheetId="0">#REF!</definedName>
    <definedName name="SPP_백__PIPE_200A_단중">#REF!</definedName>
    <definedName name="SPP_백__PIPE_20A_단중" localSheetId="0">#REF!</definedName>
    <definedName name="SPP_백__PIPE_20A_단중">#REF!</definedName>
    <definedName name="SPP_백__PIPE_250A_단중" localSheetId="0">#REF!</definedName>
    <definedName name="SPP_백__PIPE_250A_단중">#REF!</definedName>
    <definedName name="SPP_백__PIPE_25A_단중" localSheetId="0">#REF!</definedName>
    <definedName name="SPP_백__PIPE_25A_단중">#REF!</definedName>
    <definedName name="SPP_백__PIPE_300A_단중" localSheetId="0">#REF!</definedName>
    <definedName name="SPP_백__PIPE_300A_단중">#REF!</definedName>
    <definedName name="SPP_백__PIPE_32A_단중" localSheetId="0">#REF!</definedName>
    <definedName name="SPP_백__PIPE_32A_단중">#REF!</definedName>
    <definedName name="SPP_백__PIPE_350A_단중" localSheetId="0">#REF!</definedName>
    <definedName name="SPP_백__PIPE_350A_단중">#REF!</definedName>
    <definedName name="SPP_백__PIPE_400A_단중" localSheetId="0">#REF!</definedName>
    <definedName name="SPP_백__PIPE_400A_단중">#REF!</definedName>
    <definedName name="SPP_백__PIPE_40A_단중" localSheetId="0">#REF!</definedName>
    <definedName name="SPP_백__PIPE_40A_단중">#REF!</definedName>
    <definedName name="SPP_백__PIPE_450A_단중" localSheetId="0">#REF!</definedName>
    <definedName name="SPP_백__PIPE_450A_단중">#REF!</definedName>
    <definedName name="SPP_백__PIPE_500A_단중" localSheetId="0">#REF!</definedName>
    <definedName name="SPP_백__PIPE_500A_단중">#REF!</definedName>
    <definedName name="SPP_백__PIPE_50A_단중" localSheetId="0">#REF!</definedName>
    <definedName name="SPP_백__PIPE_50A_단중">#REF!</definedName>
    <definedName name="SPP_백__PIPE_65A_단중" localSheetId="0">#REF!</definedName>
    <definedName name="SPP_백__PIPE_65A_단중">#REF!</definedName>
    <definedName name="SPP_백__PIPE_80A_단중" localSheetId="0">#REF!</definedName>
    <definedName name="SPP_백__PIPE_80A_단중">#REF!</definedName>
    <definedName name="SPPS_PIPE_100A_40S_단중" localSheetId="0">#REF!</definedName>
    <definedName name="SPPS_PIPE_100A_40S_단중">#REF!</definedName>
    <definedName name="SPPS_PIPE_125A_40S_단중" localSheetId="0">#REF!</definedName>
    <definedName name="SPPS_PIPE_125A_40S_단중">#REF!</definedName>
    <definedName name="SPPS_PIPE_150A_40S_단중" localSheetId="0">#REF!</definedName>
    <definedName name="SPPS_PIPE_150A_40S_단중">#REF!</definedName>
    <definedName name="SPPS_PIPE_15A_40S_단중" localSheetId="0">#REF!</definedName>
    <definedName name="SPPS_PIPE_15A_40S_단중">#REF!</definedName>
    <definedName name="SPPS_PIPE_200A_40S_단중" localSheetId="0">#REF!</definedName>
    <definedName name="SPPS_PIPE_200A_40S_단중">#REF!</definedName>
    <definedName name="SPPS_PIPE_20A_40S_단중" localSheetId="0">#REF!</definedName>
    <definedName name="SPPS_PIPE_20A_40S_단중">#REF!</definedName>
    <definedName name="SPPS_PIPE_250A_40S_단중" localSheetId="0">#REF!</definedName>
    <definedName name="SPPS_PIPE_250A_40S_단중">#REF!</definedName>
    <definedName name="SPPS_PIPE_25A_40S_단중" localSheetId="0">#REF!</definedName>
    <definedName name="SPPS_PIPE_25A_40S_단중">#REF!</definedName>
    <definedName name="SPPS_PIPE_300A_40S_단중" localSheetId="0">#REF!</definedName>
    <definedName name="SPPS_PIPE_300A_40S_단중">#REF!</definedName>
    <definedName name="SPPS_PIPE_32A_40S_단중" localSheetId="0">#REF!</definedName>
    <definedName name="SPPS_PIPE_32A_40S_단중">#REF!</definedName>
    <definedName name="SPPS_PIPE_350A_40S_단중" localSheetId="0">#REF!</definedName>
    <definedName name="SPPS_PIPE_350A_40S_단중">#REF!</definedName>
    <definedName name="SPPS_PIPE_400A_40S_단중" localSheetId="0">#REF!</definedName>
    <definedName name="SPPS_PIPE_400A_40S_단중">#REF!</definedName>
    <definedName name="SPPS_PIPE_40A_40S_단중" localSheetId="0">#REF!</definedName>
    <definedName name="SPPS_PIPE_40A_40S_단중">#REF!</definedName>
    <definedName name="SPPS_PIPE_450A_40S_단중" localSheetId="0">#REF!</definedName>
    <definedName name="SPPS_PIPE_450A_40S_단중">#REF!</definedName>
    <definedName name="SPPS_PIPE_500A_40S_단중" localSheetId="0">#REF!</definedName>
    <definedName name="SPPS_PIPE_500A_40S_단중">#REF!</definedName>
    <definedName name="SPPS_PIPE_50A_40S_단중" localSheetId="0">#REF!</definedName>
    <definedName name="SPPS_PIPE_50A_40S_단중">#REF!</definedName>
    <definedName name="SPPS_PIPE_65A_40S_단중" localSheetId="0">#REF!</definedName>
    <definedName name="SPPS_PIPE_65A_40S_단중">#REF!</definedName>
    <definedName name="SPPS_PIPE_80A_40S_단중" localSheetId="0">#REF!</definedName>
    <definedName name="SPPS_PIPE_80A_40S_단중">#REF!</definedName>
    <definedName name="ss" hidden="1">{#N/A,#N/A,FALSE,"운반시간"}</definedName>
    <definedName name="ssc" localSheetId="0">#REF!</definedName>
    <definedName name="ssc">#REF!</definedName>
    <definedName name="sss" hidden="1">{#N/A,#N/A,FALSE,"계약직(여)"}</definedName>
    <definedName name="STL150C" localSheetId="0">[4]일위대가표!#REF!</definedName>
    <definedName name="STL150C">[4]일위대가표!#REF!</definedName>
    <definedName name="STS_PIPE_100A_10S_단중" localSheetId="0">#REF!</definedName>
    <definedName name="STS_PIPE_100A_10S_단중">#REF!</definedName>
    <definedName name="STS_PIPE_10A_10S_단중" localSheetId="0">#REF!</definedName>
    <definedName name="STS_PIPE_10A_10S_단중">#REF!</definedName>
    <definedName name="STS_PIPE_125A_10S_단중" localSheetId="0">#REF!</definedName>
    <definedName name="STS_PIPE_125A_10S_단중">#REF!</definedName>
    <definedName name="STS_PIPE_150A_10S_단중" localSheetId="0">#REF!</definedName>
    <definedName name="STS_PIPE_150A_10S_단중">#REF!</definedName>
    <definedName name="STS_PIPE_15A_10S_단중" localSheetId="0">#REF!</definedName>
    <definedName name="STS_PIPE_15A_10S_단중">#REF!</definedName>
    <definedName name="STS_PIPE_200A_10S_단중" localSheetId="0">#REF!</definedName>
    <definedName name="STS_PIPE_200A_10S_단중">#REF!</definedName>
    <definedName name="STS_PIPE_20A_10S_단중" localSheetId="0">#REF!</definedName>
    <definedName name="STS_PIPE_20A_10S_단중">#REF!</definedName>
    <definedName name="STS_PIPE_250A_10S_단중" localSheetId="0">#REF!</definedName>
    <definedName name="STS_PIPE_250A_10S_단중">#REF!</definedName>
    <definedName name="STS_PIPE_25A_10S_단중" localSheetId="0">#REF!</definedName>
    <definedName name="STS_PIPE_25A_10S_단중">#REF!</definedName>
    <definedName name="STS_PIPE_300A_10S_단중" localSheetId="0">#REF!</definedName>
    <definedName name="STS_PIPE_300A_10S_단중">#REF!</definedName>
    <definedName name="STS_PIPE_32A_10S_단중" localSheetId="0">#REF!</definedName>
    <definedName name="STS_PIPE_32A_10S_단중">#REF!</definedName>
    <definedName name="STS_PIPE_350A_10S_단중" localSheetId="0">#REF!</definedName>
    <definedName name="STS_PIPE_350A_10S_단중">#REF!</definedName>
    <definedName name="STS_PIPE_400A_10S_단중" localSheetId="0">#REF!</definedName>
    <definedName name="STS_PIPE_400A_10S_단중">#REF!</definedName>
    <definedName name="STS_PIPE_40A_10S_단중" localSheetId="0">#REF!</definedName>
    <definedName name="STS_PIPE_40A_10S_단중">#REF!</definedName>
    <definedName name="STS_PIPE_50A_10S_단중" localSheetId="0">#REF!</definedName>
    <definedName name="STS_PIPE_50A_10S_단중">#REF!</definedName>
    <definedName name="STS_PIPE_65A_10S_단중" localSheetId="0">#REF!</definedName>
    <definedName name="STS_PIPE_65A_10S_단중">#REF!</definedName>
    <definedName name="STS_PIPE_80A_10S_단중" localSheetId="0">#REF!</definedName>
    <definedName name="STS_PIPE_80A_10S_단중">#REF!</definedName>
    <definedName name="STS_PIPE_90A_10S_단중" localSheetId="0">#REF!</definedName>
    <definedName name="STS_PIPE_90A_10S_단중">#REF!</definedName>
    <definedName name="SUMM" localSheetId="0">#REF!</definedName>
    <definedName name="SUMM">#REF!</definedName>
    <definedName name="T" localSheetId="0">#REF!</definedName>
    <definedName name="T">#REF!</definedName>
    <definedName name="T_AMOUNT">#N/A</definedName>
    <definedName name="T_UPRICE">#N/A</definedName>
    <definedName name="TEST" localSheetId="0">[4]일위대가표!#REF!</definedName>
    <definedName name="TEST">[4]일위대가표!#REF!</definedName>
    <definedName name="Title" localSheetId="0">#REF!</definedName>
    <definedName name="Title">#REF!</definedName>
    <definedName name="TITLES_PRINT" localSheetId="0">#REF!</definedName>
    <definedName name="TITLES_PRINT">#REF!</definedName>
    <definedName name="TKFKD" localSheetId="0">'[52]5) 자가소모'!#REF!</definedName>
    <definedName name="TKFKD">'[52]5) 자가소모'!#REF!</definedName>
    <definedName name="TOP" localSheetId="0">#REF!</definedName>
    <definedName name="TOP">#REF!</definedName>
    <definedName name="TR_1" localSheetId="0">#REF!</definedName>
    <definedName name="TR_1">#REF!</definedName>
    <definedName name="ui" hidden="1">'[12]#REF'!$A$206:$Q$214</definedName>
    <definedName name="un_공통공사비" localSheetId="0">#REF!</definedName>
    <definedName name="un_공통공사비">#REF!</definedName>
    <definedName name="un_단위시설별공사비" localSheetId="0">#REF!</definedName>
    <definedName name="un_단위시설별공사비">#REF!</definedName>
    <definedName name="unit">[27]Disclaimer!$D$25</definedName>
    <definedName name="unitel" localSheetId="0">[53]지급액역산!#REF!</definedName>
    <definedName name="unitel">[53]지급액역산!#REF!</definedName>
    <definedName name="unitus" localSheetId="0">[27]Disclaimer!#REF!</definedName>
    <definedName name="unitus">[27]Disclaimer!#REF!</definedName>
    <definedName name="V" localSheetId="0">#REF!</definedName>
    <definedName name="V">#REF!</definedName>
    <definedName name="V_?i" localSheetId="0">#REF!</definedName>
    <definedName name="V_?i">#REF!</definedName>
    <definedName name="V_i_E" localSheetId="0">#REF!</definedName>
    <definedName name="V_i_E">#REF!</definedName>
    <definedName name="V_k" localSheetId="0">#REF!</definedName>
    <definedName name="V_k">#REF!</definedName>
    <definedName name="V_O" localSheetId="0">#REF!</definedName>
    <definedName name="V_O">#REF!</definedName>
    <definedName name="VU" localSheetId="0">'[35]RING WALL'!#REF!</definedName>
    <definedName name="VU">'[35]RING WALL'!#REF!</definedName>
    <definedName name="w">[54]매입채무!$A$35</definedName>
    <definedName name="wdj" localSheetId="0">#REF!</definedName>
    <definedName name="wdj">#REF!</definedName>
    <definedName name="wew" hidden="1">'[16]Adj(Actual_Summary_July)'!$F$45</definedName>
    <definedName name="wr" localSheetId="0">'[35]RING WALL'!#REF!</definedName>
    <definedName name="wr">'[35]RING WALL'!#REF!</definedName>
    <definedName name="wrn.2번." hidden="1">{#N/A,#N/A,FALSE,"2~8번"}</definedName>
    <definedName name="wrn.골재소요량." hidden="1">{#N/A,#N/A,FALSE,"골재소요량";#N/A,#N/A,FALSE,"골재소요량"}</definedName>
    <definedName name="wrn.급여인상안." hidden="1">{#N/A,#N/A,FALSE,"계약직(여)"}</definedName>
    <definedName name="wrn.단가표지." hidden="1">{#N/A,#N/A,FALSE,"단가표지"}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운반시간." hidden="1">{#N/A,#N/A,FALSE,"운반시간"}</definedName>
    <definedName name="wrn.조골재." hidden="1">{#N/A,#N/A,FALSE,"조골재"}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hidden="1">{#N/A,#N/A,FALSE,"표지목차"}</definedName>
    <definedName name="wrn.혼합골재." hidden="1">{#N/A,#N/A,FALSE,"혼합골재"}</definedName>
    <definedName name="ws" localSheetId="0">'[35]RING WALL'!#REF!</definedName>
    <definedName name="ws">'[35]RING WALL'!#REF!</definedName>
    <definedName name="WT">#N/A</definedName>
    <definedName name="WW">#N/A</definedName>
    <definedName name="X">[20]입찰안!$P$3</definedName>
    <definedName name="xRng_1d2e7034bde240a3a379b6cd7e5d67c4" localSheetId="0">#REF!</definedName>
    <definedName name="xRng_1d2e7034bde240a3a379b6cd7e5d67c4">#REF!</definedName>
    <definedName name="xRng_87afc1a38f50428cbff59c100a52f25d" localSheetId="0">#REF!</definedName>
    <definedName name="xRng_87afc1a38f50428cbff59c100a52f25d">#REF!</definedName>
    <definedName name="xs" localSheetId="0">'[35]RING WALL'!#REF!</definedName>
    <definedName name="xs">'[35]RING WALL'!#REF!</definedName>
    <definedName name="XX">[20]입찰안!$P$3</definedName>
    <definedName name="XXX">[20]입찰안!$P$3</definedName>
    <definedName name="XXXX">[20]입찰안!$P$3</definedName>
    <definedName name="YEAR_END">[27]Disclaimer!$D$28</definedName>
    <definedName name="Z" localSheetId="0">#REF!</definedName>
    <definedName name="Z">#REF!</definedName>
    <definedName name="zx" localSheetId="0">[24]영업수익!#REF!</definedName>
    <definedName name="zx">[24]영업수익!#REF!</definedName>
    <definedName name="π">PI()</definedName>
    <definedName name="ㄱ25x25x3t_단중" localSheetId="0">#REF!</definedName>
    <definedName name="ㄱ25x25x3t_단중">#REF!</definedName>
    <definedName name="ㄱ30x30x5t_단중" localSheetId="0">#REF!</definedName>
    <definedName name="ㄱ30x30x5t_단중">#REF!</definedName>
    <definedName name="ㄱ40x40x5t_단중" localSheetId="0">#REF!</definedName>
    <definedName name="ㄱ40x40x5t_단중">#REF!</definedName>
    <definedName name="ㄱ50x50x6t_단중" localSheetId="0">#REF!</definedName>
    <definedName name="ㄱ50x50x6t_단중">#REF!</definedName>
    <definedName name="ㄱ60x60x6t_단중" localSheetId="0">#REF!</definedName>
    <definedName name="ㄱ60x60x6t_단중">#REF!</definedName>
    <definedName name="ㄱ65x65x6t_단중" localSheetId="0">#REF!</definedName>
    <definedName name="ㄱ65x65x6t_단중">#REF!</definedName>
    <definedName name="ㄱ75x75x9t_단중" localSheetId="0">#REF!</definedName>
    <definedName name="ㄱ75x75x9t_단중">#REF!</definedName>
    <definedName name="ㄱㅂ">[55]중기일위대가!$K$25</definedName>
    <definedName name="가가" localSheetId="0">BlankMacro1</definedName>
    <definedName name="가가">BlankMacro1</definedName>
    <definedName name="가공비" localSheetId="0">#REF!</definedName>
    <definedName name="가공비">#REF!</definedName>
    <definedName name="가설공사" localSheetId="0">#REF!</definedName>
    <definedName name="가설공사">#REF!</definedName>
    <definedName name="가설비" localSheetId="0">#REF!</definedName>
    <definedName name="가설비">#REF!</definedName>
    <definedName name="간접노무비">'[56]단가 (2)'!$H$6</definedName>
    <definedName name="간지">[0]!간지</definedName>
    <definedName name="갓" localSheetId="0">#REF!</definedName>
    <definedName name="갓">#REF!</definedName>
    <definedName name="개산분" localSheetId="0">#REF!</definedName>
    <definedName name="개산분">#REF!</definedName>
    <definedName name="개요" localSheetId="0">#REF!:#REF!</definedName>
    <definedName name="개요">#REF!:#REF!</definedName>
    <definedName name="건별" localSheetId="0">#REF!</definedName>
    <definedName name="건별">#REF!</definedName>
    <definedName name="건설기계운전기사" localSheetId="0">#REF!</definedName>
    <definedName name="건설기계운전기사">#REF!</definedName>
    <definedName name="건축목공" localSheetId="0">#REF!</definedName>
    <definedName name="건축목공">#REF!</definedName>
    <definedName name="검조부" localSheetId="0">'[57]4 노임단가'!#REF!</definedName>
    <definedName name="검조부">'[57]4 노임단가'!#REF!</definedName>
    <definedName name="검토자" localSheetId="0">#REF!</definedName>
    <definedName name="검토자">#REF!</definedName>
    <definedName name="견" localSheetId="0">'[58]총 원가계산'!#REF!</definedName>
    <definedName name="견">'[58]총 원가계산'!#REF!</definedName>
    <definedName name="견적" localSheetId="0">Dlog_Show</definedName>
    <definedName name="견적">Dlog_Show</definedName>
    <definedName name="견적1" localSheetId="0">#REF!</definedName>
    <definedName name="견적1">#REF!</definedName>
    <definedName name="견적LIST" localSheetId="0">Dlog_Show</definedName>
    <definedName name="견적LIST">Dlog_Show</definedName>
    <definedName name="견적갑지" localSheetId="0">'[58]총 원가계산'!#REF!</definedName>
    <definedName name="견적갑지">'[58]총 원가계산'!#REF!</definedName>
    <definedName name="견적회사현황표" localSheetId="0">#REF!</definedName>
    <definedName name="견적회사현황표">#REF!</definedName>
    <definedName name="경고테이프" localSheetId="0">[4]일위대가표!#REF!</definedName>
    <definedName name="경고테이프">[4]일위대가표!#REF!</definedName>
    <definedName name="경기" localSheetId="0">'[59]5) 자가소모'!#REF!</definedName>
    <definedName name="경기">'[59]5) 자가소모'!#REF!</definedName>
    <definedName name="경비" localSheetId="0">#REF!</definedName>
    <definedName name="경비">#REF!</definedName>
    <definedName name="경유" localSheetId="0">[4]일위대가표!#REF!</definedName>
    <definedName name="경유">[4]일위대가표!#REF!</definedName>
    <definedName name="계_장_공" localSheetId="0">#REF!</definedName>
    <definedName name="계_장_공">#REF!</definedName>
    <definedName name="계량기" localSheetId="0">'[59]5) 자가소모'!#REF!</definedName>
    <definedName name="계량기">'[59]5) 자가소모'!#REF!</definedName>
    <definedName name="계약" hidden="1">{#N/A,#N/A,FALSE,"계약직(여)"}</definedName>
    <definedName name="계약방법" localSheetId="0">#REF!</definedName>
    <definedName name="계약방법">#REF!</definedName>
    <definedName name="계장공" localSheetId="0">#REF!</definedName>
    <definedName name="계장공">#REF!</definedName>
    <definedName name="計定明細.書2.A" localSheetId="0">#REF!</definedName>
    <definedName name="計定明細.書2.A">#REF!</definedName>
    <definedName name="計定明細.書2.B" localSheetId="0">#REF!</definedName>
    <definedName name="計定明細.書2.B">#REF!</definedName>
    <definedName name="計定明細.書2.D" localSheetId="0">'[60]24.보증금(전신전화가입권)'!#REF!</definedName>
    <definedName name="計定明細.書2.D">'[60]24.보증금(전신전화가입권)'!#REF!</definedName>
    <definedName name="계획년도">[61]표지!$A$2</definedName>
    <definedName name="고려" localSheetId="0">#REF!</definedName>
    <definedName name="고려">#REF!</definedName>
    <definedName name="고압케이블공" localSheetId="0">#REF!</definedName>
    <definedName name="고압케이블공">#REF!</definedName>
    <definedName name="고양시성라공원" localSheetId="0">Dlog_Show</definedName>
    <definedName name="고양시성라공원">Dlog_Show</definedName>
    <definedName name="골조105동서변기초" localSheetId="0">#REF!</definedName>
    <definedName name="골조105동서변기초">#REF!</definedName>
    <definedName name="골조105동서변옥탑12층" localSheetId="0">#REF!</definedName>
    <definedName name="골조105동서변옥탑12층">#REF!</definedName>
    <definedName name="골조105동서변일반층" localSheetId="0">#REF!</definedName>
    <definedName name="골조105동서변일반층">#REF!</definedName>
    <definedName name="골조105동서변지붕층" localSheetId="0">#REF!</definedName>
    <definedName name="골조105동서변지붕층">#REF!</definedName>
    <definedName name="골조105동서변지하층" localSheetId="0">#REF!</definedName>
    <definedName name="골조105동서변지하층">#REF!</definedName>
    <definedName name="골조105동서변최상층" localSheetId="0">#REF!</definedName>
    <definedName name="골조105동서변최상층">#REF!</definedName>
    <definedName name="골조120만촌기초" localSheetId="0">#REF!</definedName>
    <definedName name="골조120만촌기초">#REF!</definedName>
    <definedName name="골조120만촌옥탑12층" localSheetId="0">#REF!</definedName>
    <definedName name="골조120만촌옥탑12층">#REF!</definedName>
    <definedName name="골조120만촌일반층" localSheetId="0">#REF!</definedName>
    <definedName name="골조120만촌일반층">#REF!</definedName>
    <definedName name="골조120만촌지붕층" localSheetId="0">#REF!</definedName>
    <definedName name="골조120만촌지붕층">#REF!</definedName>
    <definedName name="골조120만촌지하층" localSheetId="0">#REF!</definedName>
    <definedName name="골조120만촌지하층">#REF!</definedName>
    <definedName name="골조120만촌최상층" localSheetId="0">#REF!</definedName>
    <definedName name="골조120만촌최상층">#REF!</definedName>
    <definedName name="골조130동서변기초" localSheetId="0">#REF!</definedName>
    <definedName name="골조130동서변기초">#REF!</definedName>
    <definedName name="골조130동서변옥탑12층" localSheetId="0">#REF!</definedName>
    <definedName name="골조130동서변옥탑12층">#REF!</definedName>
    <definedName name="골조130동서변일반층" localSheetId="0">#REF!</definedName>
    <definedName name="골조130동서변일반층">#REF!</definedName>
    <definedName name="골조130동서변지붕층" localSheetId="0">#REF!</definedName>
    <definedName name="골조130동서변지붕층">#REF!</definedName>
    <definedName name="골조130동서변지하층" localSheetId="0">#REF!</definedName>
    <definedName name="골조130동서변지하층">#REF!</definedName>
    <definedName name="골조130동서변최상층" localSheetId="0">#REF!</definedName>
    <definedName name="골조130동서변최상층">#REF!</definedName>
    <definedName name="골조135정화1층필로티" localSheetId="0">#REF!</definedName>
    <definedName name="골조135정화1층필로티">#REF!</definedName>
    <definedName name="골조135정화고층" localSheetId="0">#REF!</definedName>
    <definedName name="골조135정화고층">#REF!</definedName>
    <definedName name="골조135정화기초" localSheetId="0">#REF!</definedName>
    <definedName name="골조135정화기초">#REF!</definedName>
    <definedName name="골조135정화옥탑12층" localSheetId="0">#REF!</definedName>
    <definedName name="골조135정화옥탑12층">#REF!</definedName>
    <definedName name="골조135정화일반층" localSheetId="0">#REF!</definedName>
    <definedName name="골조135정화일반층">#REF!</definedName>
    <definedName name="골조135정화지붕층" localSheetId="0">#REF!</definedName>
    <definedName name="골조135정화지붕층">#REF!</definedName>
    <definedName name="골조135정화최상층" localSheetId="0">#REF!</definedName>
    <definedName name="골조135정화최상층">#REF!</definedName>
    <definedName name="골조145만촌기초" localSheetId="0">#REF!</definedName>
    <definedName name="골조145만촌기초">#REF!</definedName>
    <definedName name="골조145만촌옥탑12층" localSheetId="0">#REF!</definedName>
    <definedName name="골조145만촌옥탑12층">#REF!</definedName>
    <definedName name="골조145만촌일반층" localSheetId="0">#REF!</definedName>
    <definedName name="골조145만촌일반층">#REF!</definedName>
    <definedName name="골조145만촌지붕층" localSheetId="0">#REF!</definedName>
    <definedName name="골조145만촌지붕층">#REF!</definedName>
    <definedName name="골조145만촌지하층" localSheetId="0">#REF!</definedName>
    <definedName name="골조145만촌지하층">#REF!</definedName>
    <definedName name="골조145만촌최상층" localSheetId="0">#REF!</definedName>
    <definedName name="골조145만촌최상층">#REF!</definedName>
    <definedName name="골조165정화1층필로티" localSheetId="0">#REF!</definedName>
    <definedName name="골조165정화1층필로티">#REF!</definedName>
    <definedName name="골조165정화고층" localSheetId="0">#REF!</definedName>
    <definedName name="골조165정화고층">#REF!</definedName>
    <definedName name="골조165정화기초" localSheetId="0">#REF!</definedName>
    <definedName name="골조165정화기초">#REF!</definedName>
    <definedName name="골조165정화옥탑12층" localSheetId="0">#REF!</definedName>
    <definedName name="골조165정화옥탑12층">#REF!</definedName>
    <definedName name="골조165정화일반층" localSheetId="0">#REF!</definedName>
    <definedName name="골조165정화일반층">#REF!</definedName>
    <definedName name="골조165정화지붕층" localSheetId="0">#REF!</definedName>
    <definedName name="골조165정화지붕층">#REF!</definedName>
    <definedName name="골조165정화최상층" localSheetId="0">#REF!</definedName>
    <definedName name="골조165정화최상층">#REF!</definedName>
    <definedName name="골조60동서변기초" localSheetId="0">#REF!</definedName>
    <definedName name="골조60동서변기초">#REF!</definedName>
    <definedName name="골조60동서변옥탑12층" localSheetId="0">#REF!</definedName>
    <definedName name="골조60동서변옥탑12층">#REF!</definedName>
    <definedName name="골조60동서변일반층" localSheetId="0">#REF!</definedName>
    <definedName name="골조60동서변일반층">#REF!</definedName>
    <definedName name="골조60동서변지붕층" localSheetId="0">#REF!</definedName>
    <definedName name="골조60동서변지붕층">#REF!</definedName>
    <definedName name="골조60동서변지하층" localSheetId="0">#REF!</definedName>
    <definedName name="골조60동서변지하층">#REF!</definedName>
    <definedName name="골조60동서변최상층" localSheetId="0">#REF!</definedName>
    <definedName name="골조60동서변최상층">#REF!</definedName>
    <definedName name="골조60드림고층" localSheetId="0">#REF!</definedName>
    <definedName name="골조60드림고층">#REF!</definedName>
    <definedName name="골조60드림옥탑12층" localSheetId="0">#REF!</definedName>
    <definedName name="골조60드림옥탑12층">#REF!</definedName>
    <definedName name="골조60드림일반층" localSheetId="0">#REF!</definedName>
    <definedName name="골조60드림일반층">#REF!</definedName>
    <definedName name="골조60드림최상층" localSheetId="0">#REF!</definedName>
    <definedName name="골조60드림최상층">#REF!</definedName>
    <definedName name="골조62드림지붕층" localSheetId="0">#REF!</definedName>
    <definedName name="골조62드림지붕층">#REF!</definedName>
    <definedName name="골조85김해장유고층" localSheetId="0">#REF!</definedName>
    <definedName name="골조85김해장유고층">#REF!</definedName>
    <definedName name="골조85김해장유기초" localSheetId="0">#REF!</definedName>
    <definedName name="골조85김해장유기초">#REF!</definedName>
    <definedName name="골조85김해장유옥탑12층" localSheetId="0">#REF!</definedName>
    <definedName name="골조85김해장유옥탑12층">#REF!</definedName>
    <definedName name="골조85김해장유일반층" localSheetId="0">#REF!</definedName>
    <definedName name="골조85김해장유일반층">#REF!</definedName>
    <definedName name="골조85김해장유지붕층" localSheetId="0">#REF!</definedName>
    <definedName name="골조85김해장유지붕층">#REF!</definedName>
    <definedName name="골조85김해장유지하층" localSheetId="0">#REF!</definedName>
    <definedName name="골조85김해장유지하층">#REF!</definedName>
    <definedName name="골조85김해장유최상층" localSheetId="0">#REF!</definedName>
    <definedName name="골조85김해장유최상층">#REF!</definedName>
    <definedName name="골조85동서변기초" localSheetId="0">#REF!</definedName>
    <definedName name="골조85동서변기초">#REF!</definedName>
    <definedName name="골조85동서변옥탑12층" localSheetId="0">#REF!</definedName>
    <definedName name="골조85동서변옥탑12층">#REF!</definedName>
    <definedName name="골조85동서변일반층" localSheetId="0">#REF!</definedName>
    <definedName name="골조85동서변일반층">#REF!</definedName>
    <definedName name="골조85동서변지붕층" localSheetId="0">#REF!</definedName>
    <definedName name="골조85동서변지붕층">#REF!</definedName>
    <definedName name="골조85동서변지하층" localSheetId="0">#REF!</definedName>
    <definedName name="골조85동서변지하층">#REF!</definedName>
    <definedName name="골조85동서변최상층" localSheetId="0">#REF!</definedName>
    <definedName name="골조85동서변최상층">#REF!</definedName>
    <definedName name="골조85정화1층필로티" localSheetId="0">#REF!</definedName>
    <definedName name="골조85정화1층필로티">#REF!</definedName>
    <definedName name="골조85정화고층" localSheetId="0">#REF!</definedName>
    <definedName name="골조85정화고층">#REF!</definedName>
    <definedName name="골조85정화기초" localSheetId="0">#REF!</definedName>
    <definedName name="골조85정화기초">#REF!</definedName>
    <definedName name="골조85정화옥탑12층" localSheetId="0">#REF!</definedName>
    <definedName name="골조85정화옥탑12층">#REF!</definedName>
    <definedName name="골조85정화일반층" localSheetId="0">#REF!</definedName>
    <definedName name="골조85정화일반층">#REF!</definedName>
    <definedName name="골조85정화지붕층" localSheetId="0">#REF!</definedName>
    <definedName name="골조85정화지붕층">#REF!</definedName>
    <definedName name="골조85정화최상층" localSheetId="0">#REF!</definedName>
    <definedName name="골조85정화최상층">#REF!</definedName>
    <definedName name="골조전용85동서변기초" localSheetId="0">#REF!</definedName>
    <definedName name="골조전용85동서변기초">#REF!</definedName>
    <definedName name="공공" localSheetId="0">#REF!</definedName>
    <definedName name="공공">#REF!</definedName>
    <definedName name="공구손료" localSheetId="0">#REF!</definedName>
    <definedName name="공구손료">#REF!</definedName>
    <definedName name="공급가액">'[56]단가 (2)'!$H$13</definedName>
    <definedName name="공급전력부하" localSheetId="0">#REF!</definedName>
    <definedName name="공급전력부하">#REF!</definedName>
    <definedName name="공급전수">'[62]분석(판매량)'!$A$68:$T$75</definedName>
    <definedName name="공기구비품" localSheetId="0">#REF!</definedName>
    <definedName name="공기구비품">#REF!</definedName>
    <definedName name="공내역" localSheetId="0">[63]청천내!#REF!</definedName>
    <definedName name="공내역">[63]청천내!#REF!</definedName>
    <definedName name="공사명" localSheetId="0">#REF!</definedName>
    <definedName name="공사명">#REF!</definedName>
    <definedName name="공사방법" localSheetId="0">#REF!</definedName>
    <definedName name="공사방법">#REF!</definedName>
    <definedName name="공사비">'[56]단가 (2)'!$H$5</definedName>
    <definedName name="공사성격" localSheetId="0">#REF!</definedName>
    <definedName name="공사성격">#REF!</definedName>
    <definedName name="공사책임자" localSheetId="0">#REF!</definedName>
    <definedName name="공사책임자">#REF!</definedName>
    <definedName name="공장지원" localSheetId="0" hidden="1">[12]ST!#REF!</definedName>
    <definedName name="공장지원" hidden="1">[12]ST!#REF!</definedName>
    <definedName name="공장지원팀" localSheetId="0" hidden="1">#REF!</definedName>
    <definedName name="공장지원팀" hidden="1">#REF!</definedName>
    <definedName name="공종분류">OFFSET([64]파일의이용!$P$2,0,0,COUNTA([64]파일의이용!$P$2:$P$34),1)</definedName>
    <definedName name="공지">'[11]#REF'!$A$6:$S$232</definedName>
    <definedName name="공통">[65]설계예시!$B$5</definedName>
    <definedName name="공휴일" localSheetId="0">#REF!</definedName>
    <definedName name="공휴일">#REF!</definedName>
    <definedName name="관경">[66]계획서!$M$29:$M$37</definedName>
    <definedName name="관급" localSheetId="0">#REF!,#REF!,#REF!</definedName>
    <definedName name="관급">#REF!,#REF!,#REF!</definedName>
    <definedName name="관급자재비">'[56]단가 (2)'!$H$16</definedName>
    <definedName name="광케">'[67]4 노임단가'!$E$99</definedName>
    <definedName name="교육계획1">'[11]#REF'!$A$1:$S$234</definedName>
    <definedName name="교육내용" localSheetId="0">[68]연결임시!#REF!</definedName>
    <definedName name="교육내용">[68]연결임시!#REF!</definedName>
    <definedName name="구" localSheetId="0">[69]리스트!#REF!</definedName>
    <definedName name="구">[69]리스트!#REF!</definedName>
    <definedName name="구구" localSheetId="0">#REF!</definedName>
    <definedName name="구구">#REF!</definedName>
    <definedName name="구댜" localSheetId="0">#REF!</definedName>
    <definedName name="구댜">#REF!</definedName>
    <definedName name="구산갑지" localSheetId="0" hidden="1">#REF!</definedName>
    <definedName name="구산갑지" hidden="1">#REF!</definedName>
    <definedName name="구조물공" localSheetId="0">[70]내역!#REF!</definedName>
    <definedName name="구조물공">[70]내역!#REF!</definedName>
    <definedName name="구팔" localSheetId="0">#REF!</definedName>
    <definedName name="구팔">#REF!</definedName>
    <definedName name="굴착길이" localSheetId="0">#REF!</definedName>
    <definedName name="굴착길이">#REF!</definedName>
    <definedName name="굼액" localSheetId="0">#REF!</definedName>
    <definedName name="굼액">#REF!</definedName>
    <definedName name="그대" localSheetId="0">#REF!</definedName>
    <definedName name="그대">#REF!</definedName>
    <definedName name="그대여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금액" localSheetId="0">#REF!</definedName>
    <definedName name="금액">#REF!</definedName>
    <definedName name="금액단위" localSheetId="0">#REF!</definedName>
    <definedName name="금액단위">#REF!</definedName>
    <definedName name="급냉내역서">[55]중기일위대가!$J$25</definedName>
    <definedName name="급여인상안" hidden="1">{#N/A,#N/A,FALSE,"계약직(여)"}</definedName>
    <definedName name="기계경비" localSheetId="0">#REF!</definedName>
    <definedName name="기계경비">#REF!</definedName>
    <definedName name="기계공" localSheetId="0">#REF!</definedName>
    <definedName name="기계공">#REF!</definedName>
    <definedName name="기계설치공" localSheetId="0">#REF!</definedName>
    <definedName name="기계설치공">#REF!</definedName>
    <definedName name="기공식" localSheetId="0">#REF!</definedName>
    <definedName name="기공식">#REF!</definedName>
    <definedName name="기기" localSheetId="0">'[71]2000년1차'!#REF!</definedName>
    <definedName name="기기">'[71]2000년1차'!#REF!</definedName>
    <definedName name="기매" localSheetId="0">#REF!</definedName>
    <definedName name="기매">#REF!</definedName>
    <definedName name="기본급" hidden="1">{#N/A,#N/A,FALSE,"계약직(여)"}</definedName>
    <definedName name="기사" localSheetId="0">#REF!</definedName>
    <definedName name="기사">#REF!</definedName>
    <definedName name="기산" localSheetId="0">#REF!</definedName>
    <definedName name="기산">#REF!</definedName>
    <definedName name="기세" localSheetId="0">#REF!</definedName>
    <definedName name="기세">#REF!</definedName>
    <definedName name="기와공" localSheetId="0">'[57]4 노임단가'!#REF!</definedName>
    <definedName name="기와공">'[57]4 노임단가'!#REF!</definedName>
    <definedName name="기원" localSheetId="0">#REF!</definedName>
    <definedName name="기원">#REF!</definedName>
    <definedName name="기준일" localSheetId="0">#REF!</definedName>
    <definedName name="기준일">#REF!</definedName>
    <definedName name="기타" localSheetId="0">#REF!</definedName>
    <definedName name="기타">#REF!</definedName>
    <definedName name="기타경비">'[56]단가 (2)'!$H$9</definedName>
    <definedName name="기타자재" localSheetId="0">#REF!</definedName>
    <definedName name="기타자재">#REF!</definedName>
    <definedName name="김미영">[0]!김미영</definedName>
    <definedName name="김성" localSheetId="0">'[72]도급,하도급 예정금액'!#REF!</definedName>
    <definedName name="김성">'[72]도급,하도급 예정금액'!#REF!</definedName>
    <definedName name="김영훈" localSheetId="0">[39]퇴충기초!#REF!</definedName>
    <definedName name="김영훈">[39]퇴충기초!#REF!</definedName>
    <definedName name="ㄴ" localSheetId="0">#REF!</definedName>
    <definedName name="ㄴ">#REF!</definedName>
    <definedName name="ㄴㄱㅍ" localSheetId="0">#REF!</definedName>
    <definedName name="ㄴㄱㅍ">#REF!</definedName>
    <definedName name="ㄴㄴㄴ" localSheetId="0">#REF!</definedName>
    <definedName name="ㄴㄴㄴ">#REF!</definedName>
    <definedName name="ㄴㅇ라" hidden="1">{#N/A,#N/A,FALSE,"계약직(여)"}</definedName>
    <definedName name="ㄴㅇㅈㅈㅇㅇ">[0]!ㄴㅇㅈㅈㅇㅇ</definedName>
    <definedName name="나우콤비율" localSheetId="0">#REF!</definedName>
    <definedName name="나우콤비율">#REF!</definedName>
    <definedName name="남덕" localSheetId="0">BlankMacro1</definedName>
    <definedName name="남덕">BlankMacro1</definedName>
    <definedName name="남부" localSheetId="0">'[59]5) 자가소모'!#REF!</definedName>
    <definedName name="남부">'[59]5) 자가소모'!#REF!</definedName>
    <definedName name="내선">'[67]4 노임단가'!$E$60</definedName>
    <definedName name="내선전공" localSheetId="0">[4]일위대가표!#REF!</definedName>
    <definedName name="내선전공">[4]일위대가표!#REF!</definedName>
    <definedName name="내역2001" localSheetId="0">#REF!</definedName>
    <definedName name="내역2001">#REF!</definedName>
    <definedName name="내역서" localSheetId="0">Dlog_Show</definedName>
    <definedName name="내역서">Dlog_Show</definedName>
    <definedName name="내장공" localSheetId="0">#REF!</definedName>
    <definedName name="내장공">#REF!</definedName>
    <definedName name="년___월___일_까지" localSheetId="0">#REF!</definedName>
    <definedName name="년___월___일_까지">#REF!</definedName>
    <definedName name="년95" localSheetId="0">#REF!</definedName>
    <definedName name="년95">#REF!</definedName>
    <definedName name="노1" localSheetId="0">#REF!</definedName>
    <definedName name="노1">#REF!</definedName>
    <definedName name="노10" localSheetId="0">#REF!</definedName>
    <definedName name="노10">#REF!</definedName>
    <definedName name="노100" localSheetId="0">#REF!</definedName>
    <definedName name="노100">#REF!</definedName>
    <definedName name="노101" localSheetId="0">#REF!</definedName>
    <definedName name="노101">#REF!</definedName>
    <definedName name="노102" localSheetId="0">#REF!</definedName>
    <definedName name="노102">#REF!</definedName>
    <definedName name="노103" localSheetId="0">#REF!</definedName>
    <definedName name="노103">#REF!</definedName>
    <definedName name="노104" localSheetId="0">#REF!</definedName>
    <definedName name="노104">#REF!</definedName>
    <definedName name="노105" localSheetId="0">#REF!</definedName>
    <definedName name="노105">#REF!</definedName>
    <definedName name="노106" localSheetId="0">#REF!</definedName>
    <definedName name="노106">#REF!</definedName>
    <definedName name="노107" localSheetId="0">#REF!</definedName>
    <definedName name="노107">#REF!</definedName>
    <definedName name="노108" localSheetId="0">#REF!</definedName>
    <definedName name="노108">#REF!</definedName>
    <definedName name="노109" localSheetId="0">#REF!</definedName>
    <definedName name="노109">#REF!</definedName>
    <definedName name="노11" localSheetId="0">#REF!</definedName>
    <definedName name="노11">#REF!</definedName>
    <definedName name="노110" localSheetId="0">#REF!</definedName>
    <definedName name="노110">#REF!</definedName>
    <definedName name="노111" localSheetId="0">#REF!</definedName>
    <definedName name="노111">#REF!</definedName>
    <definedName name="노112" localSheetId="0">#REF!</definedName>
    <definedName name="노112">#REF!</definedName>
    <definedName name="노113" localSheetId="0">#REF!</definedName>
    <definedName name="노113">#REF!</definedName>
    <definedName name="노114" localSheetId="0">#REF!</definedName>
    <definedName name="노114">#REF!</definedName>
    <definedName name="노115" localSheetId="0">#REF!</definedName>
    <definedName name="노115">#REF!</definedName>
    <definedName name="노116" localSheetId="0">#REF!</definedName>
    <definedName name="노116">#REF!</definedName>
    <definedName name="노117" localSheetId="0">#REF!</definedName>
    <definedName name="노117">#REF!</definedName>
    <definedName name="노118" localSheetId="0">#REF!</definedName>
    <definedName name="노118">#REF!</definedName>
    <definedName name="노119" localSheetId="0">#REF!</definedName>
    <definedName name="노119">#REF!</definedName>
    <definedName name="노12" localSheetId="0">#REF!</definedName>
    <definedName name="노12">#REF!</definedName>
    <definedName name="노120" localSheetId="0">#REF!</definedName>
    <definedName name="노120">#REF!</definedName>
    <definedName name="노121" localSheetId="0">#REF!</definedName>
    <definedName name="노121">#REF!</definedName>
    <definedName name="노122" localSheetId="0">#REF!</definedName>
    <definedName name="노122">#REF!</definedName>
    <definedName name="노123" localSheetId="0">#REF!</definedName>
    <definedName name="노123">#REF!</definedName>
    <definedName name="노124" localSheetId="0">#REF!</definedName>
    <definedName name="노124">#REF!</definedName>
    <definedName name="노125" localSheetId="0">#REF!</definedName>
    <definedName name="노125">#REF!</definedName>
    <definedName name="노126" localSheetId="0">#REF!</definedName>
    <definedName name="노126">#REF!</definedName>
    <definedName name="노127" localSheetId="0">#REF!</definedName>
    <definedName name="노127">#REF!</definedName>
    <definedName name="노128" localSheetId="0">#REF!</definedName>
    <definedName name="노128">#REF!</definedName>
    <definedName name="노129" localSheetId="0">#REF!</definedName>
    <definedName name="노129">#REF!</definedName>
    <definedName name="노13" localSheetId="0">#REF!</definedName>
    <definedName name="노13">#REF!</definedName>
    <definedName name="노130" localSheetId="0">#REF!</definedName>
    <definedName name="노130">#REF!</definedName>
    <definedName name="노131" localSheetId="0">#REF!</definedName>
    <definedName name="노131">#REF!</definedName>
    <definedName name="노132" localSheetId="0">#REF!</definedName>
    <definedName name="노132">#REF!</definedName>
    <definedName name="노133" localSheetId="0">#REF!</definedName>
    <definedName name="노133">#REF!</definedName>
    <definedName name="노134" localSheetId="0">#REF!</definedName>
    <definedName name="노134">#REF!</definedName>
    <definedName name="노135" localSheetId="0">#REF!</definedName>
    <definedName name="노135">#REF!</definedName>
    <definedName name="노136" localSheetId="0">#REF!</definedName>
    <definedName name="노136">#REF!</definedName>
    <definedName name="노137" localSheetId="0">#REF!</definedName>
    <definedName name="노137">#REF!</definedName>
    <definedName name="노138" localSheetId="0">#REF!</definedName>
    <definedName name="노138">#REF!</definedName>
    <definedName name="노139" localSheetId="0">#REF!</definedName>
    <definedName name="노139">#REF!</definedName>
    <definedName name="노14" localSheetId="0">#REF!</definedName>
    <definedName name="노14">#REF!</definedName>
    <definedName name="노140" localSheetId="0">#REF!</definedName>
    <definedName name="노140">#REF!</definedName>
    <definedName name="노141" localSheetId="0">#REF!</definedName>
    <definedName name="노141">#REF!</definedName>
    <definedName name="노142" localSheetId="0">#REF!</definedName>
    <definedName name="노142">#REF!</definedName>
    <definedName name="노143" localSheetId="0">#REF!</definedName>
    <definedName name="노143">#REF!</definedName>
    <definedName name="노144" localSheetId="0">#REF!</definedName>
    <definedName name="노144">#REF!</definedName>
    <definedName name="노145" localSheetId="0">#REF!</definedName>
    <definedName name="노145">#REF!</definedName>
    <definedName name="노146" localSheetId="0">#REF!</definedName>
    <definedName name="노146">#REF!</definedName>
    <definedName name="노15" localSheetId="0">#REF!</definedName>
    <definedName name="노15">#REF!</definedName>
    <definedName name="노150" localSheetId="0">'[73]일위대가표 '!#REF!</definedName>
    <definedName name="노150">'[73]일위대가표 '!#REF!</definedName>
    <definedName name="노151" localSheetId="0">'[73]일위대가표 '!#REF!</definedName>
    <definedName name="노151">'[73]일위대가표 '!#REF!</definedName>
    <definedName name="노152" localSheetId="0">'[73]일위대가표 '!#REF!</definedName>
    <definedName name="노152">'[73]일위대가표 '!#REF!</definedName>
    <definedName name="노153" localSheetId="0">'[73]일위대가표 '!#REF!</definedName>
    <definedName name="노153">'[73]일위대가표 '!#REF!</definedName>
    <definedName name="노154" localSheetId="0">'[73]일위대가표 '!#REF!</definedName>
    <definedName name="노154">'[73]일위대가표 '!#REF!</definedName>
    <definedName name="노155" localSheetId="0">'[73]일위대가표 '!#REF!</definedName>
    <definedName name="노155">'[73]일위대가표 '!#REF!</definedName>
    <definedName name="노156" localSheetId="0">'[73]일위대가표 '!#REF!</definedName>
    <definedName name="노156">'[73]일위대가표 '!#REF!</definedName>
    <definedName name="노157" localSheetId="0">'[73]일위대가표 '!#REF!</definedName>
    <definedName name="노157">'[73]일위대가표 '!#REF!</definedName>
    <definedName name="노158" localSheetId="0">'[73]일위대가표 '!#REF!</definedName>
    <definedName name="노158">'[73]일위대가표 '!#REF!</definedName>
    <definedName name="노159" localSheetId="0">'[73]일위대가표 '!#REF!</definedName>
    <definedName name="노159">'[73]일위대가표 '!#REF!</definedName>
    <definedName name="노16" localSheetId="0">#REF!</definedName>
    <definedName name="노16">#REF!</definedName>
    <definedName name="노160" localSheetId="0">'[73]일위대가표 '!#REF!</definedName>
    <definedName name="노160">'[73]일위대가표 '!#REF!</definedName>
    <definedName name="노161" localSheetId="0">'[73]일위대가표 '!#REF!</definedName>
    <definedName name="노161">'[73]일위대가표 '!#REF!</definedName>
    <definedName name="노162" localSheetId="0">'[73]일위대가표 '!#REF!</definedName>
    <definedName name="노162">'[73]일위대가표 '!#REF!</definedName>
    <definedName name="노163" localSheetId="0">'[73]일위대가표 '!#REF!</definedName>
    <definedName name="노163">'[73]일위대가표 '!#REF!</definedName>
    <definedName name="노164" localSheetId="0">'[73]일위대가표 '!#REF!</definedName>
    <definedName name="노164">'[73]일위대가표 '!#REF!</definedName>
    <definedName name="노165" localSheetId="0">'[73]일위대가표 '!#REF!</definedName>
    <definedName name="노165">'[73]일위대가표 '!#REF!</definedName>
    <definedName name="노166" localSheetId="0">'[73]일위대가표 '!#REF!</definedName>
    <definedName name="노166">'[73]일위대가표 '!#REF!</definedName>
    <definedName name="노167" localSheetId="0">'[73]일위대가표 '!#REF!</definedName>
    <definedName name="노167">'[73]일위대가표 '!#REF!</definedName>
    <definedName name="노168" localSheetId="0">'[73]일위대가표 '!#REF!</definedName>
    <definedName name="노168">'[73]일위대가표 '!#REF!</definedName>
    <definedName name="노169" localSheetId="0">'[73]일위대가표 '!#REF!</definedName>
    <definedName name="노169">'[73]일위대가표 '!#REF!</definedName>
    <definedName name="노17" localSheetId="0">#REF!</definedName>
    <definedName name="노17">#REF!</definedName>
    <definedName name="노170" localSheetId="0">'[73]일위대가표 '!#REF!</definedName>
    <definedName name="노170">'[73]일위대가표 '!#REF!</definedName>
    <definedName name="노171" localSheetId="0">'[73]일위대가표 '!#REF!</definedName>
    <definedName name="노171">'[73]일위대가표 '!#REF!</definedName>
    <definedName name="노172" localSheetId="0">'[73]일위대가표 '!#REF!</definedName>
    <definedName name="노172">'[73]일위대가표 '!#REF!</definedName>
    <definedName name="노173" localSheetId="0">'[73]일위대가표 '!#REF!</definedName>
    <definedName name="노173">'[73]일위대가표 '!#REF!</definedName>
    <definedName name="노174" localSheetId="0">'[73]일위대가표 '!#REF!</definedName>
    <definedName name="노174">'[73]일위대가표 '!#REF!</definedName>
    <definedName name="노175" localSheetId="0">'[73]일위대가표 '!#REF!</definedName>
    <definedName name="노175">'[73]일위대가표 '!#REF!</definedName>
    <definedName name="노176" localSheetId="0">'[73]일위대가표 '!#REF!</definedName>
    <definedName name="노176">'[73]일위대가표 '!#REF!</definedName>
    <definedName name="노177" localSheetId="0">'[73]일위대가표 '!#REF!</definedName>
    <definedName name="노177">'[73]일위대가표 '!#REF!</definedName>
    <definedName name="노18" localSheetId="0">#REF!</definedName>
    <definedName name="노18">#REF!</definedName>
    <definedName name="노19" localSheetId="0">#REF!</definedName>
    <definedName name="노19">#REF!</definedName>
    <definedName name="노2" localSheetId="0">#REF!</definedName>
    <definedName name="노2">#REF!</definedName>
    <definedName name="노20" localSheetId="0">#REF!</definedName>
    <definedName name="노20">#REF!</definedName>
    <definedName name="노21" localSheetId="0">#REF!</definedName>
    <definedName name="노21">#REF!</definedName>
    <definedName name="노22" localSheetId="0">#REF!</definedName>
    <definedName name="노22">#REF!</definedName>
    <definedName name="노23" localSheetId="0">#REF!</definedName>
    <definedName name="노23">#REF!</definedName>
    <definedName name="노24" localSheetId="0">#REF!</definedName>
    <definedName name="노24">#REF!</definedName>
    <definedName name="노25" localSheetId="0">#REF!</definedName>
    <definedName name="노25">#REF!</definedName>
    <definedName name="노26" localSheetId="0">#REF!</definedName>
    <definedName name="노26">#REF!</definedName>
    <definedName name="노27" localSheetId="0">#REF!</definedName>
    <definedName name="노27">#REF!</definedName>
    <definedName name="노28" localSheetId="0">#REF!</definedName>
    <definedName name="노28">#REF!</definedName>
    <definedName name="노29" localSheetId="0">#REF!</definedName>
    <definedName name="노29">#REF!</definedName>
    <definedName name="노3" localSheetId="0">#REF!</definedName>
    <definedName name="노3">#REF!</definedName>
    <definedName name="노30" localSheetId="0">#REF!</definedName>
    <definedName name="노30">#REF!</definedName>
    <definedName name="노31" localSheetId="0">#REF!</definedName>
    <definedName name="노31">#REF!</definedName>
    <definedName name="노32" localSheetId="0">#REF!</definedName>
    <definedName name="노32">#REF!</definedName>
    <definedName name="노33" localSheetId="0">#REF!</definedName>
    <definedName name="노33">#REF!</definedName>
    <definedName name="노34" localSheetId="0">#REF!</definedName>
    <definedName name="노34">#REF!</definedName>
    <definedName name="노35" localSheetId="0">#REF!</definedName>
    <definedName name="노35">#REF!</definedName>
    <definedName name="노36" localSheetId="0">#REF!</definedName>
    <definedName name="노36">#REF!</definedName>
    <definedName name="노37" localSheetId="0">#REF!</definedName>
    <definedName name="노37">#REF!</definedName>
    <definedName name="노38" localSheetId="0">#REF!</definedName>
    <definedName name="노38">#REF!</definedName>
    <definedName name="노39" localSheetId="0">#REF!</definedName>
    <definedName name="노39">#REF!</definedName>
    <definedName name="노4" localSheetId="0">#REF!</definedName>
    <definedName name="노4">#REF!</definedName>
    <definedName name="노40" localSheetId="0">#REF!</definedName>
    <definedName name="노40">#REF!</definedName>
    <definedName name="노41" localSheetId="0">#REF!</definedName>
    <definedName name="노41">#REF!</definedName>
    <definedName name="노42" localSheetId="0">#REF!</definedName>
    <definedName name="노42">#REF!</definedName>
    <definedName name="노43" localSheetId="0">#REF!</definedName>
    <definedName name="노43">#REF!</definedName>
    <definedName name="노44" localSheetId="0">#REF!</definedName>
    <definedName name="노44">#REF!</definedName>
    <definedName name="노45" localSheetId="0">#REF!</definedName>
    <definedName name="노45">#REF!</definedName>
    <definedName name="노46" localSheetId="0">#REF!</definedName>
    <definedName name="노46">#REF!</definedName>
    <definedName name="노47" localSheetId="0">#REF!</definedName>
    <definedName name="노47">#REF!</definedName>
    <definedName name="노48" localSheetId="0">#REF!</definedName>
    <definedName name="노48">#REF!</definedName>
    <definedName name="노49" localSheetId="0">#REF!</definedName>
    <definedName name="노49">#REF!</definedName>
    <definedName name="노5" localSheetId="0">#REF!</definedName>
    <definedName name="노5">#REF!</definedName>
    <definedName name="노50" localSheetId="0">#REF!</definedName>
    <definedName name="노50">#REF!</definedName>
    <definedName name="노51" localSheetId="0">#REF!</definedName>
    <definedName name="노51">#REF!</definedName>
    <definedName name="노52" localSheetId="0">#REF!</definedName>
    <definedName name="노52">#REF!</definedName>
    <definedName name="노53" localSheetId="0">#REF!</definedName>
    <definedName name="노53">#REF!</definedName>
    <definedName name="노54" localSheetId="0">#REF!</definedName>
    <definedName name="노54">#REF!</definedName>
    <definedName name="노55" localSheetId="0">#REF!</definedName>
    <definedName name="노55">#REF!</definedName>
    <definedName name="노56" localSheetId="0">#REF!</definedName>
    <definedName name="노56">#REF!</definedName>
    <definedName name="노57" localSheetId="0">#REF!</definedName>
    <definedName name="노57">#REF!</definedName>
    <definedName name="노58" localSheetId="0">#REF!</definedName>
    <definedName name="노58">#REF!</definedName>
    <definedName name="노59" localSheetId="0">#REF!</definedName>
    <definedName name="노59">#REF!</definedName>
    <definedName name="노6" localSheetId="0">#REF!</definedName>
    <definedName name="노6">#REF!</definedName>
    <definedName name="노60" localSheetId="0">#REF!</definedName>
    <definedName name="노60">#REF!</definedName>
    <definedName name="노61" localSheetId="0">#REF!</definedName>
    <definedName name="노61">#REF!</definedName>
    <definedName name="노62" localSheetId="0">#REF!</definedName>
    <definedName name="노62">#REF!</definedName>
    <definedName name="노63" localSheetId="0">#REF!</definedName>
    <definedName name="노63">#REF!</definedName>
    <definedName name="노64" localSheetId="0">#REF!</definedName>
    <definedName name="노64">#REF!</definedName>
    <definedName name="노65" localSheetId="0">#REF!</definedName>
    <definedName name="노65">#REF!</definedName>
    <definedName name="노66" localSheetId="0">#REF!</definedName>
    <definedName name="노66">#REF!</definedName>
    <definedName name="노67" localSheetId="0">#REF!</definedName>
    <definedName name="노67">#REF!</definedName>
    <definedName name="노68" localSheetId="0">#REF!</definedName>
    <definedName name="노68">#REF!</definedName>
    <definedName name="노69" localSheetId="0">#REF!</definedName>
    <definedName name="노69">#REF!</definedName>
    <definedName name="노7" localSheetId="0">#REF!</definedName>
    <definedName name="노7">#REF!</definedName>
    <definedName name="노70" localSheetId="0">#REF!</definedName>
    <definedName name="노70">#REF!</definedName>
    <definedName name="노71" localSheetId="0">#REF!</definedName>
    <definedName name="노71">#REF!</definedName>
    <definedName name="노72" localSheetId="0">#REF!</definedName>
    <definedName name="노72">#REF!</definedName>
    <definedName name="노73" localSheetId="0">#REF!</definedName>
    <definedName name="노73">#REF!</definedName>
    <definedName name="노74" localSheetId="0">#REF!</definedName>
    <definedName name="노74">#REF!</definedName>
    <definedName name="노75" localSheetId="0">#REF!</definedName>
    <definedName name="노75">#REF!</definedName>
    <definedName name="노76" localSheetId="0">#REF!</definedName>
    <definedName name="노76">#REF!</definedName>
    <definedName name="노77" localSheetId="0">#REF!</definedName>
    <definedName name="노77">#REF!</definedName>
    <definedName name="노78" localSheetId="0">#REF!</definedName>
    <definedName name="노78">#REF!</definedName>
    <definedName name="노79" localSheetId="0">#REF!</definedName>
    <definedName name="노79">#REF!</definedName>
    <definedName name="노8" localSheetId="0">#REF!</definedName>
    <definedName name="노8">#REF!</definedName>
    <definedName name="노80" localSheetId="0">#REF!</definedName>
    <definedName name="노80">#REF!</definedName>
    <definedName name="노81" localSheetId="0">#REF!</definedName>
    <definedName name="노81">#REF!</definedName>
    <definedName name="노82" localSheetId="0">#REF!</definedName>
    <definedName name="노82">#REF!</definedName>
    <definedName name="노83" localSheetId="0">#REF!</definedName>
    <definedName name="노83">#REF!</definedName>
    <definedName name="노84" localSheetId="0">#REF!</definedName>
    <definedName name="노84">#REF!</definedName>
    <definedName name="노85" localSheetId="0">#REF!</definedName>
    <definedName name="노85">#REF!</definedName>
    <definedName name="노86" localSheetId="0">#REF!</definedName>
    <definedName name="노86">#REF!</definedName>
    <definedName name="노87" localSheetId="0">#REF!</definedName>
    <definedName name="노87">#REF!</definedName>
    <definedName name="노88" localSheetId="0">#REF!</definedName>
    <definedName name="노88">#REF!</definedName>
    <definedName name="노89" localSheetId="0">#REF!</definedName>
    <definedName name="노89">#REF!</definedName>
    <definedName name="노9" localSheetId="0">#REF!</definedName>
    <definedName name="노9">#REF!</definedName>
    <definedName name="노90" localSheetId="0">#REF!</definedName>
    <definedName name="노90">#REF!</definedName>
    <definedName name="노91" localSheetId="0">#REF!</definedName>
    <definedName name="노91">#REF!</definedName>
    <definedName name="노92" localSheetId="0">#REF!</definedName>
    <definedName name="노92">#REF!</definedName>
    <definedName name="노93" localSheetId="0">#REF!</definedName>
    <definedName name="노93">#REF!</definedName>
    <definedName name="노94" localSheetId="0">#REF!</definedName>
    <definedName name="노94">#REF!</definedName>
    <definedName name="노95" localSheetId="0">#REF!</definedName>
    <definedName name="노95">#REF!</definedName>
    <definedName name="노96" localSheetId="0">#REF!</definedName>
    <definedName name="노96">#REF!</definedName>
    <definedName name="노97" localSheetId="0">#REF!</definedName>
    <definedName name="노97">#REF!</definedName>
    <definedName name="노98" localSheetId="0">#REF!</definedName>
    <definedName name="노98">#REF!</definedName>
    <definedName name="노99" localSheetId="0">#REF!</definedName>
    <definedName name="노99">#REF!</definedName>
    <definedName name="노무비" localSheetId="0">#REF!</definedName>
    <definedName name="노무비">#REF!</definedName>
    <definedName name="노부비" localSheetId="0">#REF!</definedName>
    <definedName name="노부비">#REF!</definedName>
    <definedName name="노임단가" localSheetId="0">#REF!</definedName>
    <definedName name="노임단가">#REF!</definedName>
    <definedName name="누계검침량">'[74]공급일보(2)'!$B$64:$G$75</definedName>
    <definedName name="누계공급량">'[74]공급일보(2)'!$B$64:$E$75</definedName>
    <definedName name="누기매" localSheetId="0">#REF!</definedName>
    <definedName name="누기매">#REF!</definedName>
    <definedName name="누기세" localSheetId="0">#REF!</definedName>
    <definedName name="누기세">#REF!</definedName>
    <definedName name="누기원" localSheetId="0">#REF!</definedName>
    <definedName name="누기원">#REF!</definedName>
    <definedName name="누매출액" localSheetId="0">#REF!</definedName>
    <definedName name="누매출액">#REF!</definedName>
    <definedName name="누세대수" localSheetId="0">#REF!</definedName>
    <definedName name="누세대수">#REF!</definedName>
    <definedName name="누신매" localSheetId="0">#REF!</definedName>
    <definedName name="누신매">#REF!</definedName>
    <definedName name="누신세" localSheetId="0">#REF!</definedName>
    <definedName name="누신세">#REF!</definedName>
    <definedName name="누신원" localSheetId="0">#REF!</definedName>
    <definedName name="누신원">#REF!</definedName>
    <definedName name="누원가" localSheetId="0">#REF!</definedName>
    <definedName name="누원가">#REF!</definedName>
    <definedName name="누타매" localSheetId="0">#REF!</definedName>
    <definedName name="누타매">#REF!</definedName>
    <definedName name="누타세" localSheetId="0">#REF!</definedName>
    <definedName name="누타세">#REF!</definedName>
    <definedName name="누타원" localSheetId="0">#REF!</definedName>
    <definedName name="누타원">#REF!</definedName>
    <definedName name="ㄷ" localSheetId="0">#REF!+#REF!</definedName>
    <definedName name="ㄷ">#REF!+#REF!</definedName>
    <definedName name="ㄷ100x50x5x7.5t_단중" localSheetId="0">#REF!</definedName>
    <definedName name="ㄷ100x50x5x7.5t_단중">#REF!</definedName>
    <definedName name="ㄷ125x65x6x8t_단중" localSheetId="0">#REF!</definedName>
    <definedName name="ㄷ125x65x6x8t_단중">#REF!</definedName>
    <definedName name="ㄷ75x40x5x7t_단중" localSheetId="0">#REF!</definedName>
    <definedName name="ㄷ75x40x5x7t_단중">#REF!</definedName>
    <definedName name="ㄷㄹ1" localSheetId="0">#REF!</definedName>
    <definedName name="ㄷㄹ1">#REF!</definedName>
    <definedName name="닥트공" localSheetId="0">#REF!</definedName>
    <definedName name="닥트공">#REF!</definedName>
    <definedName name="단_______가">'[75]일위대가(건축)'!B83</definedName>
    <definedName name="단가" localSheetId="0">[76]추정원가!#REF!</definedName>
    <definedName name="단가">[76]추정원가!#REF!</definedName>
    <definedName name="단가검토" localSheetId="0">#REF!</definedName>
    <definedName name="단가검토">#REF!</definedName>
    <definedName name="단가비교표" localSheetId="0">#REF!,#REF!</definedName>
    <definedName name="단가비교표">#REF!,#REF!</definedName>
    <definedName name="단가표">[77]단가표!$A$7:$U$7</definedName>
    <definedName name="단기대여금">[78]배서어음명세서!$A$2:$F$31</definedName>
    <definedName name="단기자금수지" localSheetId="0" hidden="1">'[12]#REF'!#REF!</definedName>
    <definedName name="단기자금수지" hidden="1">'[12]#REF'!#REF!</definedName>
    <definedName name="단말처리재" localSheetId="0">#REF!</definedName>
    <definedName name="단말처리재">#REF!</definedName>
    <definedName name="단위" localSheetId="0">[2]물가변동3!#REF!</definedName>
    <definedName name="단위">[2]물가변동3!#REF!</definedName>
    <definedName name="단위시설">[65]설계예시!$B$84</definedName>
    <definedName name="단중입력" localSheetId="0">[79]!단중입력</definedName>
    <definedName name="단중입력">[79]!단중입력</definedName>
    <definedName name="담티가시설공" localSheetId="0">#REF!</definedName>
    <definedName name="담티가시설공">#REF!</definedName>
    <definedName name="담티터널" localSheetId="0">#REF!</definedName>
    <definedName name="담티터널">#REF!</definedName>
    <definedName name="대변" localSheetId="0">#REF!</definedName>
    <definedName name="대변">#REF!</definedName>
    <definedName name="대변b" localSheetId="0">#REF!</definedName>
    <definedName name="대변b">#REF!</definedName>
    <definedName name="대지면적" localSheetId="0">#REF!</definedName>
    <definedName name="대지면적">#REF!</definedName>
    <definedName name="덕_트_공" localSheetId="0">#REF!</definedName>
    <definedName name="덕_트_공">#REF!</definedName>
    <definedName name="데이콤비율" localSheetId="0">#REF!</definedName>
    <definedName name="데이콤비율">#REF!</definedName>
    <definedName name="데이타" localSheetId="0">#REF!</definedName>
    <definedName name="데이타">#REF!</definedName>
    <definedName name="데이타의_복사본" localSheetId="0">#REF!</definedName>
    <definedName name="데이타의_복사본">#REF!</definedName>
    <definedName name="도_장_공" localSheetId="0">#REF!</definedName>
    <definedName name="도_장_공">#REF!</definedName>
    <definedName name="도급경비" localSheetId="0">#REF!</definedName>
    <definedName name="도급경비">#REF!</definedName>
    <definedName name="도급공사">'[56]단가 (2)'!$H$5</definedName>
    <definedName name="도급공사비" localSheetId="0">#REF!</definedName>
    <definedName name="도급공사비">#REF!</definedName>
    <definedName name="도급분류">OFFSET([64]파일의이용!$O$2,0,0,COUNTA([64]파일의이용!$O$2:$O$3),1)</definedName>
    <definedName name="도급업체" localSheetId="0">#REF!</definedName>
    <definedName name="도급업체">#REF!</definedName>
    <definedName name="도급예산액">'[56]단가 (2)'!$H$15</definedName>
    <definedName name="도급예상액">'[56]단가 (2)'!$H$15</definedName>
    <definedName name="도목수" localSheetId="0">'[57]4 노임단가'!#REF!</definedName>
    <definedName name="도목수">'[57]4 노임단가'!#REF!</definedName>
    <definedName name="도시가스이설" localSheetId="0">#REF!</definedName>
    <definedName name="도시가스이설">#REF!</definedName>
    <definedName name="도장공" localSheetId="0">#REF!</definedName>
    <definedName name="도장공">#REF!</definedName>
    <definedName name="도장노임" localSheetId="0">#REF!</definedName>
    <definedName name="도장노임">#REF!</definedName>
    <definedName name="도장손료" localSheetId="0">#REF!</definedName>
    <definedName name="도장손료">#REF!</definedName>
    <definedName name="도장할증" localSheetId="0">#REF!</definedName>
    <definedName name="도장할증">#REF!</definedName>
    <definedName name="동별수량" localSheetId="0">#REF!</definedName>
    <definedName name="동별수량">#REF!</definedName>
    <definedName name="동서고가" localSheetId="0">#REF!</definedName>
    <definedName name="동서고가">#REF!</definedName>
    <definedName name="동시사용율" localSheetId="0">#REF!</definedName>
    <definedName name="동시사용율">#REF!</definedName>
    <definedName name="동시클릭수" localSheetId="0">#REF!</definedName>
    <definedName name="동시클릭수">#REF!</definedName>
    <definedName name="등록_시작" localSheetId="0">[37]!등록_시작</definedName>
    <definedName name="등록_시작">[37]!등록_시작</definedName>
    <definedName name="등록_취소" localSheetId="0">[37]!등록_취소</definedName>
    <definedName name="등록_취소">[37]!등록_취소</definedName>
    <definedName name="ㄹ" localSheetId="0">#REF!</definedName>
    <definedName name="ㄹ">#REF!</definedName>
    <definedName name="ㄹㄹㅇ" localSheetId="0">#REF!</definedName>
    <definedName name="ㄹㄹㅇ">#REF!</definedName>
    <definedName name="리벳공" localSheetId="0">#REF!</definedName>
    <definedName name="리벳공">#REF!</definedName>
    <definedName name="ㅁ" localSheetId="0">#REF!</definedName>
    <definedName name="ㅁ">#REF!</definedName>
    <definedName name="ㅁ1" localSheetId="0">#REF!</definedName>
    <definedName name="ㅁ1">#REF!</definedName>
    <definedName name="ㅁ155" localSheetId="0">#REF!</definedName>
    <definedName name="ㅁ155">#REF!</definedName>
    <definedName name="ㅁ170" localSheetId="0">[80]저!#REF!</definedName>
    <definedName name="ㅁ170">[80]저!#REF!</definedName>
    <definedName name="ㅁ219" localSheetId="0">#REF!</definedName>
    <definedName name="ㅁ219">#REF!</definedName>
    <definedName name="ㅁ8529" localSheetId="0">[81]일반공사!#REF!</definedName>
    <definedName name="ㅁ8529">[81]일반공사!#REF!</definedName>
    <definedName name="ㅁㅁ" localSheetId="0">#REF!</definedName>
    <definedName name="ㅁㅁ">#REF!</definedName>
    <definedName name="ㅁㅁ158" localSheetId="0">#REF!</definedName>
    <definedName name="ㅁㅁ158">#REF!</definedName>
    <definedName name="ㅁㅁㅁ" localSheetId="0">#REF!</definedName>
    <definedName name="ㅁㅁㅁ">#REF!</definedName>
    <definedName name="ㅁㅊㅁㅊㅁㅊ">'[82]남양시작동자105노65기1.3화1.2'!$A$2:$G$882</definedName>
    <definedName name="ㅁㅌㅁㅌㅁㅊ">'[82]남양시작동자105노65기1.3화1.2'!$A$2:$G$882</definedName>
    <definedName name="ㅁㅍㅍ" localSheetId="0">[24]영업수익!#REF!</definedName>
    <definedName name="ㅁㅍㅍ">[24]영업수익!#REF!</definedName>
    <definedName name="마감120만촌가구공사" localSheetId="0">#REF!</definedName>
    <definedName name="마감120만촌가구공사">#REF!</definedName>
    <definedName name="마감120만촌계단1층" localSheetId="0">#REF!</definedName>
    <definedName name="마감120만촌계단1층">#REF!</definedName>
    <definedName name="마감120만촌계단2층" localSheetId="0">#REF!</definedName>
    <definedName name="마감120만촌계단2층">#REF!</definedName>
    <definedName name="마감120만촌계단고층" localSheetId="0">#REF!</definedName>
    <definedName name="마감120만촌계단고층">#REF!</definedName>
    <definedName name="마감120만촌계단옥탑12층" localSheetId="0">#REF!</definedName>
    <definedName name="마감120만촌계단옥탑12층">#REF!</definedName>
    <definedName name="마감120만촌계단일반층" localSheetId="0">#REF!</definedName>
    <definedName name="마감120만촌계단일반층">#REF!</definedName>
    <definedName name="마감120만촌계단주현관" localSheetId="0">#REF!</definedName>
    <definedName name="마감120만촌계단주현관">#REF!</definedName>
    <definedName name="마감120만촌계단지하층" localSheetId="0">#REF!</definedName>
    <definedName name="마감120만촌계단지하층">#REF!</definedName>
    <definedName name="마감120만촌계단최상층" localSheetId="0">#REF!</definedName>
    <definedName name="마감120만촌계단최상층">#REF!</definedName>
    <definedName name="마감120만촌공통공사" localSheetId="0">#REF!</definedName>
    <definedName name="마감120만촌공통공사">#REF!</definedName>
    <definedName name="마감120만촌목재창호공사" localSheetId="0">#REF!</definedName>
    <definedName name="마감120만촌목재창호공사">#REF!</definedName>
    <definedName name="마감120만촌발코니샤시공사" localSheetId="0">#REF!</definedName>
    <definedName name="마감120만촌발코니샤시공사">#REF!</definedName>
    <definedName name="마감120만촌세대바닥마감공사" localSheetId="0">#REF!</definedName>
    <definedName name="마감120만촌세대바닥마감공사">#REF!</definedName>
    <definedName name="마감120만촌일반지하층" localSheetId="0">#REF!</definedName>
    <definedName name="마감120만촌일반지하층">#REF!</definedName>
    <definedName name="마감120만촌일반층일반세대" localSheetId="0">#REF!</definedName>
    <definedName name="마감120만촌일반층일반세대">#REF!</definedName>
    <definedName name="마감120만촌일반층측세대" localSheetId="0">#REF!</definedName>
    <definedName name="마감120만촌일반층측세대">#REF!</definedName>
    <definedName name="마감120만촌지붕층일반세대" localSheetId="0">#REF!</definedName>
    <definedName name="마감120만촌지붕층일반세대">#REF!</definedName>
    <definedName name="마감120만촌지붕층측세대" localSheetId="0">#REF!</definedName>
    <definedName name="마감120만촌지붕층측세대">#REF!</definedName>
    <definedName name="마감120만촌최상층일반세대" localSheetId="0">#REF!</definedName>
    <definedName name="마감120만촌최상층일반세대">#REF!</definedName>
    <definedName name="마감120만촌최상층측세대" localSheetId="0">#REF!</definedName>
    <definedName name="마감120만촌최상층측세대">#REF!</definedName>
    <definedName name="마감135정화가구공사" localSheetId="0">#REF!</definedName>
    <definedName name="마감135정화가구공사">#REF!</definedName>
    <definedName name="마감135정화계단1층" localSheetId="0">#REF!</definedName>
    <definedName name="마감135정화계단1층">#REF!</definedName>
    <definedName name="마감135정화계단2층" localSheetId="0">#REF!</definedName>
    <definedName name="마감135정화계단2층">#REF!</definedName>
    <definedName name="마감135정화계단고층" localSheetId="0">#REF!</definedName>
    <definedName name="마감135정화계단고층">#REF!</definedName>
    <definedName name="마감135정화계단옥탑12층" localSheetId="0">#REF!</definedName>
    <definedName name="마감135정화계단옥탑12층">#REF!</definedName>
    <definedName name="마감135정화계단일반층" localSheetId="0">#REF!</definedName>
    <definedName name="마감135정화계단일반층">#REF!</definedName>
    <definedName name="마감135정화계단지하층" localSheetId="0">#REF!</definedName>
    <definedName name="마감135정화계단지하층">#REF!</definedName>
    <definedName name="마감135정화계단최상층" localSheetId="0">#REF!</definedName>
    <definedName name="마감135정화계단최상층">#REF!</definedName>
    <definedName name="마감135정화고층일반새대" localSheetId="0">#REF!</definedName>
    <definedName name="마감135정화고층일반새대">#REF!</definedName>
    <definedName name="마감135정화고층측세대" localSheetId="0">#REF!</definedName>
    <definedName name="마감135정화고층측세대">#REF!</definedName>
    <definedName name="마감135정화공통공사" localSheetId="0">#REF!</definedName>
    <definedName name="마감135정화공통공사">#REF!</definedName>
    <definedName name="마감135정화목재창호공사" localSheetId="0">#REF!</definedName>
    <definedName name="마감135정화목재창호공사">#REF!</definedName>
    <definedName name="마감135정화세대바닥마감공사" localSheetId="0">#REF!</definedName>
    <definedName name="마감135정화세대바닥마감공사">#REF!</definedName>
    <definedName name="마감135정화일반지하층" localSheetId="0">#REF!</definedName>
    <definedName name="마감135정화일반지하층">#REF!</definedName>
    <definedName name="마감135정화일반층일반세대" localSheetId="0">#REF!</definedName>
    <definedName name="마감135정화일반층일반세대">#REF!</definedName>
    <definedName name="마감135정화일반층측세대" localSheetId="0">#REF!</definedName>
    <definedName name="마감135정화일반층측세대">#REF!</definedName>
    <definedName name="마감135정화지붕층일반세대" localSheetId="0">#REF!</definedName>
    <definedName name="마감135정화지붕층일반세대">#REF!</definedName>
    <definedName name="마감135정화지붕층측세대" localSheetId="0">#REF!</definedName>
    <definedName name="마감135정화지붕층측세대">#REF!</definedName>
    <definedName name="마감135정화최상층일반세대" localSheetId="0">#REF!</definedName>
    <definedName name="마감135정화최상층일반세대">#REF!</definedName>
    <definedName name="마감135정화최상층측세대" localSheetId="0">#REF!</definedName>
    <definedName name="마감135정화최상층측세대">#REF!</definedName>
    <definedName name="마감146만촌가구공사" localSheetId="0">#REF!</definedName>
    <definedName name="마감146만촌가구공사">#REF!</definedName>
    <definedName name="마감146만촌계단1층" localSheetId="0">#REF!</definedName>
    <definedName name="마감146만촌계단1층">#REF!</definedName>
    <definedName name="마감146만촌계단2층" localSheetId="0">#REF!</definedName>
    <definedName name="마감146만촌계단2층">#REF!</definedName>
    <definedName name="마감146만촌계단고층" localSheetId="0">#REF!</definedName>
    <definedName name="마감146만촌계단고층">#REF!</definedName>
    <definedName name="마감146만촌계단옥탑12층" localSheetId="0">#REF!</definedName>
    <definedName name="마감146만촌계단옥탑12층">#REF!</definedName>
    <definedName name="마감146만촌계단일반층" localSheetId="0">#REF!</definedName>
    <definedName name="마감146만촌계단일반층">#REF!</definedName>
    <definedName name="마감146만촌계단주현관" localSheetId="0">#REF!</definedName>
    <definedName name="마감146만촌계단주현관">#REF!</definedName>
    <definedName name="마감146만촌계단지하층" localSheetId="0">#REF!</definedName>
    <definedName name="마감146만촌계단지하층">#REF!</definedName>
    <definedName name="마감146만촌계단최상층" localSheetId="0">#REF!</definedName>
    <definedName name="마감146만촌계단최상층">#REF!</definedName>
    <definedName name="마감146만촌공통공사" localSheetId="0">#REF!</definedName>
    <definedName name="마감146만촌공통공사">#REF!</definedName>
    <definedName name="마감146만촌목재창호공사" localSheetId="0">#REF!</definedName>
    <definedName name="마감146만촌목재창호공사">#REF!</definedName>
    <definedName name="마감146만촌발코니샤시공사" localSheetId="0">#REF!</definedName>
    <definedName name="마감146만촌발코니샤시공사">#REF!</definedName>
    <definedName name="마감146만촌세대바닥마감공사" localSheetId="0">#REF!</definedName>
    <definedName name="마감146만촌세대바닥마감공사">#REF!</definedName>
    <definedName name="마감146만촌일반지하층" localSheetId="0">#REF!</definedName>
    <definedName name="마감146만촌일반지하층">#REF!</definedName>
    <definedName name="마감146만촌일반층일반세대" localSheetId="0">#REF!</definedName>
    <definedName name="마감146만촌일반층일반세대">#REF!</definedName>
    <definedName name="마감146만촌일반층측세대" localSheetId="0">#REF!</definedName>
    <definedName name="마감146만촌일반층측세대">#REF!</definedName>
    <definedName name="마감146만촌지붕층일반세대" localSheetId="0">#REF!</definedName>
    <definedName name="마감146만촌지붕층일반세대">#REF!</definedName>
    <definedName name="마감146만촌지붕층측세대" localSheetId="0">#REF!</definedName>
    <definedName name="마감146만촌지붕층측세대">#REF!</definedName>
    <definedName name="마감146만촌최상층일반세대" localSheetId="0">#REF!</definedName>
    <definedName name="마감146만촌최상층일반세대">#REF!</definedName>
    <definedName name="마감146만촌최상층측세대" localSheetId="0">#REF!</definedName>
    <definedName name="마감146만촌최상층측세대">#REF!</definedName>
    <definedName name="마감165정화가구공사" localSheetId="0">#REF!</definedName>
    <definedName name="마감165정화가구공사">#REF!</definedName>
    <definedName name="마감165정화계단1층" localSheetId="0">#REF!</definedName>
    <definedName name="마감165정화계단1층">#REF!</definedName>
    <definedName name="마감165정화계단2층" localSheetId="0">#REF!</definedName>
    <definedName name="마감165정화계단2층">#REF!</definedName>
    <definedName name="마감165정화계단고층" localSheetId="0">#REF!</definedName>
    <definedName name="마감165정화계단고층">#REF!</definedName>
    <definedName name="마감165정화계단옥탑12층" localSheetId="0">#REF!</definedName>
    <definedName name="마감165정화계단옥탑12층">#REF!</definedName>
    <definedName name="마감165정화계단일반층" localSheetId="0">#REF!</definedName>
    <definedName name="마감165정화계단일반층">#REF!</definedName>
    <definedName name="마감165정화계단지하층" localSheetId="0">#REF!</definedName>
    <definedName name="마감165정화계단지하층">#REF!</definedName>
    <definedName name="마감165정화계단최상층" localSheetId="0">#REF!</definedName>
    <definedName name="마감165정화계단최상층">#REF!</definedName>
    <definedName name="마감165정화고층일반세대" localSheetId="0">#REF!</definedName>
    <definedName name="마감165정화고층일반세대">#REF!</definedName>
    <definedName name="마감165정화고층측세대" localSheetId="0">#REF!</definedName>
    <definedName name="마감165정화고층측세대">#REF!</definedName>
    <definedName name="마감165정화공통공사" localSheetId="0">#REF!</definedName>
    <definedName name="마감165정화공통공사">#REF!</definedName>
    <definedName name="마감165정화목재창호공사" localSheetId="0">#REF!</definedName>
    <definedName name="마감165정화목재창호공사">#REF!</definedName>
    <definedName name="마감165정화세대바닥마감공사" localSheetId="0">#REF!</definedName>
    <definedName name="마감165정화세대바닥마감공사">#REF!</definedName>
    <definedName name="마감165정화일반지하층" localSheetId="0">#REF!</definedName>
    <definedName name="마감165정화일반지하층">#REF!</definedName>
    <definedName name="마감165정화일반층일반세대" localSheetId="0">#REF!</definedName>
    <definedName name="마감165정화일반층일반세대">#REF!</definedName>
    <definedName name="마감165정화일반층측세대" localSheetId="0">#REF!</definedName>
    <definedName name="마감165정화일반층측세대">#REF!</definedName>
    <definedName name="마감165정화지붕층일반세대" localSheetId="0">#REF!</definedName>
    <definedName name="마감165정화지붕층일반세대">#REF!</definedName>
    <definedName name="마감165정화지붕층측세대" localSheetId="0">#REF!</definedName>
    <definedName name="마감165정화지붕층측세대">#REF!</definedName>
    <definedName name="마감165정화최상층일반세대" localSheetId="0">#REF!</definedName>
    <definedName name="마감165정화최상층일반세대">#REF!</definedName>
    <definedName name="마감165정화최상층측세대" localSheetId="0">#REF!</definedName>
    <definedName name="마감165정화최상층측세대">#REF!</definedName>
    <definedName name="마감60드림가구공사" localSheetId="0">#REF!</definedName>
    <definedName name="마감60드림가구공사">#REF!</definedName>
    <definedName name="마감60드림계단1층" localSheetId="0">#REF!</definedName>
    <definedName name="마감60드림계단1층">#REF!</definedName>
    <definedName name="마감60드림계단2층" localSheetId="0">#REF!</definedName>
    <definedName name="마감60드림계단2층">#REF!</definedName>
    <definedName name="마감60드림계단고층" localSheetId="0">#REF!</definedName>
    <definedName name="마감60드림계단고층">#REF!</definedName>
    <definedName name="마감60드림계단옥탑12층" localSheetId="0">#REF!</definedName>
    <definedName name="마감60드림계단옥탑12층">#REF!</definedName>
    <definedName name="마감60드림계단일반층" localSheetId="0">#REF!</definedName>
    <definedName name="마감60드림계단일반층">#REF!</definedName>
    <definedName name="마감60드림계단주현관" localSheetId="0">#REF!</definedName>
    <definedName name="마감60드림계단주현관">#REF!</definedName>
    <definedName name="마감60드림계단지하층" localSheetId="0">#REF!</definedName>
    <definedName name="마감60드림계단지하층">#REF!</definedName>
    <definedName name="마감60드림계단최상층" localSheetId="0">#REF!</definedName>
    <definedName name="마감60드림계단최상층">#REF!</definedName>
    <definedName name="마감60드림고층일반세대" localSheetId="0">#REF!</definedName>
    <definedName name="마감60드림고층일반세대">#REF!</definedName>
    <definedName name="마감60드림고층측세대" localSheetId="0">#REF!</definedName>
    <definedName name="마감60드림고층측세대">#REF!</definedName>
    <definedName name="마감60드림공통공사" localSheetId="0">#REF!</definedName>
    <definedName name="마감60드림공통공사">#REF!</definedName>
    <definedName name="마감60드림목재창호공사" localSheetId="0">#REF!</definedName>
    <definedName name="마감60드림목재창호공사">#REF!</definedName>
    <definedName name="마감60드림세대바닥마감공사" localSheetId="0">#REF!</definedName>
    <definedName name="마감60드림세대바닥마감공사">#REF!</definedName>
    <definedName name="마감60드림일반지하층" localSheetId="0">#REF!</definedName>
    <definedName name="마감60드림일반지하층">#REF!</definedName>
    <definedName name="마감60드림일반층일반세대" localSheetId="0">#REF!</definedName>
    <definedName name="마감60드림일반층일반세대">#REF!</definedName>
    <definedName name="마감60드림일반층측세대" localSheetId="0">#REF!</definedName>
    <definedName name="마감60드림일반층측세대">#REF!</definedName>
    <definedName name="마감60드림지붕층일반세대" localSheetId="0">#REF!</definedName>
    <definedName name="마감60드림지붕층일반세대">#REF!</definedName>
    <definedName name="마감60드림지붕층측세대" localSheetId="0">#REF!</definedName>
    <definedName name="마감60드림지붕층측세대">#REF!</definedName>
    <definedName name="마감60드림최상층일반세대" localSheetId="0">#REF!</definedName>
    <definedName name="마감60드림최상층일반세대">#REF!</definedName>
    <definedName name="마감60드림최상층측세대" localSheetId="0">#REF!</definedName>
    <definedName name="마감60드림최상층측세대">#REF!</definedName>
    <definedName name="마감85만촌가구공사" localSheetId="0">#REF!</definedName>
    <definedName name="마감85만촌가구공사">#REF!</definedName>
    <definedName name="마감85만촌계단1층" localSheetId="0">#REF!</definedName>
    <definedName name="마감85만촌계단1층">#REF!</definedName>
    <definedName name="마감85만촌계단2층" localSheetId="0">#REF!</definedName>
    <definedName name="마감85만촌계단2층">#REF!</definedName>
    <definedName name="마감85만촌계단옥탑12층" localSheetId="0">#REF!</definedName>
    <definedName name="마감85만촌계단옥탑12층">#REF!</definedName>
    <definedName name="마감85만촌계단일반층" localSheetId="0">#REF!</definedName>
    <definedName name="마감85만촌계단일반층">#REF!</definedName>
    <definedName name="마감85만촌계단주현관" localSheetId="0">#REF!</definedName>
    <definedName name="마감85만촌계단주현관">#REF!</definedName>
    <definedName name="마감85만촌계단지하층" localSheetId="0">#REF!</definedName>
    <definedName name="마감85만촌계단지하층">#REF!</definedName>
    <definedName name="마감85만촌계단최상층" localSheetId="0">#REF!</definedName>
    <definedName name="마감85만촌계단최상층">#REF!</definedName>
    <definedName name="마감85만촌공통공사" localSheetId="0">#REF!</definedName>
    <definedName name="마감85만촌공통공사">#REF!</definedName>
    <definedName name="마감85만촌목재창호공사" localSheetId="0">#REF!</definedName>
    <definedName name="마감85만촌목재창호공사">#REF!</definedName>
    <definedName name="마감85만촌발코니샤시공사" localSheetId="0">#REF!</definedName>
    <definedName name="마감85만촌발코니샤시공사">#REF!</definedName>
    <definedName name="마감85만촌세대바닥마감공사" localSheetId="0">#REF!</definedName>
    <definedName name="마감85만촌세대바닥마감공사">#REF!</definedName>
    <definedName name="마감85만촌일반지하층" localSheetId="0">#REF!</definedName>
    <definedName name="마감85만촌일반지하층">#REF!</definedName>
    <definedName name="마감85만촌일반층일반세대" localSheetId="0">#REF!</definedName>
    <definedName name="마감85만촌일반층일반세대">#REF!</definedName>
    <definedName name="마감85만촌일반층측세대" localSheetId="0">#REF!</definedName>
    <definedName name="마감85만촌일반층측세대">#REF!</definedName>
    <definedName name="마감85만촌지붕층일반세대" localSheetId="0">#REF!</definedName>
    <definedName name="마감85만촌지붕층일반세대">#REF!</definedName>
    <definedName name="마감85만촌지붕층측세대" localSheetId="0">#REF!</definedName>
    <definedName name="마감85만촌지붕층측세대">#REF!</definedName>
    <definedName name="마감85만촌최상층일반세대" localSheetId="0">#REF!</definedName>
    <definedName name="마감85만촌최상층일반세대">#REF!</definedName>
    <definedName name="마감85만촌최상층측세대" localSheetId="0">#REF!</definedName>
    <definedName name="마감85만촌최상층측세대">#REF!</definedName>
    <definedName name="마감집계" localSheetId="0">#REF!:#REF!</definedName>
    <definedName name="마감집계">#REF!:#REF!</definedName>
    <definedName name="마곡" localSheetId="0">'[52]5) 자가소모'!#REF!</definedName>
    <definedName name="마곡">'[52]5) 자가소모'!#REF!</definedName>
    <definedName name="마곡자" localSheetId="0">'[52]5) 자가소모'!#REF!</definedName>
    <definedName name="마곡자">'[52]5) 자가소모'!#REF!</definedName>
    <definedName name="마음" localSheetId="0">BlankMacro1</definedName>
    <definedName name="마음">BlankMacro1</definedName>
    <definedName name="매설심도" localSheetId="0">#REF!</definedName>
    <definedName name="매설심도">#REF!</definedName>
    <definedName name="매출대비_비율1" localSheetId="0">#REF!</definedName>
    <definedName name="매출대비_비율1">#REF!</definedName>
    <definedName name="매출대비_비율2" localSheetId="0">#REF!</definedName>
    <definedName name="매출대비_비율2">#REF!</definedName>
    <definedName name="매출액" localSheetId="0">#REF!</definedName>
    <definedName name="매출액">#REF!</definedName>
    <definedName name="매출액20000" localSheetId="0">#REF!</definedName>
    <definedName name="매출액20000">#REF!</definedName>
    <definedName name="매출액25000" localSheetId="0">#REF!</definedName>
    <definedName name="매출액25000">#REF!</definedName>
    <definedName name="메인_메뉴호출" localSheetId="0">[83]!메인_메뉴호출</definedName>
    <definedName name="메인_메뉴호출">[83]!메인_메뉴호출</definedName>
    <definedName name="메인_시작" localSheetId="0">[37]!메인_시작</definedName>
    <definedName name="메인_시작">[37]!메인_시작</definedName>
    <definedName name="명부" hidden="1">{#N/A,#N/A,FALSE,"계약직(여)"}</definedName>
    <definedName name="명부ㅗ" hidden="1">{#N/A,#N/A,FALSE,"계약직(여)"}</definedName>
    <definedName name="목____도" localSheetId="0">#REF!</definedName>
    <definedName name="목____도">#REF!</definedName>
    <definedName name="목도" localSheetId="0">#REF!</definedName>
    <definedName name="목도">#REF!</definedName>
    <definedName name="목도공">'[67]4 노임단가'!$E$72</definedName>
    <definedName name="몰라" localSheetId="0">BlankMacro1</definedName>
    <definedName name="몰라">BlankMacro1</definedName>
    <definedName name="물량집계" localSheetId="0">[37]!물량집계</definedName>
    <definedName name="물량집계">[37]!물량집계</definedName>
    <definedName name="뭐ㅇ야">[84]투찰가!$B$3:$J$313</definedName>
    <definedName name="미밈">'[85]남양시작동010313100%'!$A$2:$G$882</definedName>
    <definedName name="미장공" localSheetId="0">#REF!</definedName>
    <definedName name="미장공">#REF!</definedName>
    <definedName name="및" localSheetId="0">[2]물가변동3!#REF!</definedName>
    <definedName name="및">[2]물가변동3!#REF!</definedName>
    <definedName name="ㅂ" localSheetId="0">#REF!</definedName>
    <definedName name="ㅂ">#REF!</definedName>
    <definedName name="ㅂㅂ">[78]배서어음명세서!$A$34:$F$55</definedName>
    <definedName name="ㅂㅂㅂㅂ" localSheetId="0">'[86]보증금(전신전화가입권)'!#REF!</definedName>
    <definedName name="ㅂㅂㅂㅂ">'[86]보증금(전신전화가입권)'!#REF!</definedName>
    <definedName name="바이브레타공" localSheetId="0">'[57]4 노임단가'!#REF!</definedName>
    <definedName name="바이브레타공">'[57]4 노임단가'!#REF!</definedName>
    <definedName name="발탁승격대상자" hidden="1">{#N/A,#N/A,FALSE,"계약직(여)"}</definedName>
    <definedName name="방수공" localSheetId="0">#REF!</definedName>
    <definedName name="방수공">#REF!</definedName>
    <definedName name="방화" localSheetId="0">'[52]5) 자가소모'!#REF!</definedName>
    <definedName name="방화">'[52]5) 자가소모'!#REF!</definedName>
    <definedName name="배_관_공" localSheetId="0">#REF!</definedName>
    <definedName name="배_관_공">#REF!</definedName>
    <definedName name="배관">[87]입력!$C$4</definedName>
    <definedName name="배관공" localSheetId="0">#REF!</definedName>
    <definedName name="배관공">#REF!</definedName>
    <definedName name="배관금리" localSheetId="0">#REF!</definedName>
    <definedName name="배관금리">#REF!</definedName>
    <definedName name="배전">'[67]4 노임단가'!$E$57</definedName>
    <definedName name="배전전공" localSheetId="0">[4]일위대가표!#REF!</definedName>
    <definedName name="배전전공">[4]일위대가표!#REF!</definedName>
    <definedName name="배전활선전공" localSheetId="0">#REF!</definedName>
    <definedName name="배전활선전공">#REF!</definedName>
    <definedName name="버던비트" localSheetId="0">[4]일위대가표!#REF!</definedName>
    <definedName name="버던비트">[4]일위대가표!#REF!</definedName>
    <definedName name="번_호" localSheetId="0">[2]물가변동3!#REF!</definedName>
    <definedName name="번_호">[2]물가변동3!#REF!</definedName>
    <definedName name="번호" localSheetId="0">'[69]폐기(자본지출)'!#REF!</definedName>
    <definedName name="번호">'[69]폐기(자본지출)'!#REF!</definedName>
    <definedName name="변간접노무비" localSheetId="0">#REF!</definedName>
    <definedName name="변간접노무비">#REF!</definedName>
    <definedName name="변경설계" localSheetId="0">#REF!</definedName>
    <definedName name="변경설계">#REF!</definedName>
    <definedName name="변공구손료" localSheetId="0">#REF!</definedName>
    <definedName name="변공구손료">#REF!</definedName>
    <definedName name="변기록사진대" localSheetId="0">#REF!</definedName>
    <definedName name="변기록사진대">#REF!</definedName>
    <definedName name="변복리후생비" localSheetId="0">#REF!</definedName>
    <definedName name="변복리후생비">#REF!</definedName>
    <definedName name="변본사본" localSheetId="0">#REF!</definedName>
    <definedName name="변본사본">#REF!</definedName>
    <definedName name="변본사분" localSheetId="0">#REF!</definedName>
    <definedName name="변본사분">#REF!</definedName>
    <definedName name="변세금공과금" localSheetId="0">#REF!</definedName>
    <definedName name="변세금공과금">#REF!</definedName>
    <definedName name="변소모품비" localSheetId="0">#REF!</definedName>
    <definedName name="변소모품비">#REF!</definedName>
    <definedName name="변안전관리비" localSheetId="0">#REF!</definedName>
    <definedName name="변안전관리비">#REF!</definedName>
    <definedName name="변여비교통통신비" localSheetId="0">#REF!</definedName>
    <definedName name="변여비교통통신비">#REF!</definedName>
    <definedName name="변이윤" localSheetId="0">#REF!</definedName>
    <definedName name="변이윤">#REF!</definedName>
    <definedName name="변일반관리비" localSheetId="0">#REF!</definedName>
    <definedName name="변일반관리비">#REF!</definedName>
    <definedName name="변직접노무비" localSheetId="0">#REF!</definedName>
    <definedName name="변직접노무비">#REF!</definedName>
    <definedName name="보" localSheetId="0">BlankMacro1</definedName>
    <definedName name="보">BlankMacro1</definedName>
    <definedName name="보_온_공" localSheetId="0">#REF!</definedName>
    <definedName name="보_온_공">#REF!</definedName>
    <definedName name="보갑" localSheetId="0">#REF!</definedName>
    <definedName name="보갑">#REF!</definedName>
    <definedName name="보급단가" localSheetId="0">#REF!</definedName>
    <definedName name="보급단가">#REF!</definedName>
    <definedName name="보급율" localSheetId="0">#REF!</definedName>
    <definedName name="보급율">#REF!</definedName>
    <definedName name="보링공" localSheetId="0">[4]일위대가표!#REF!</definedName>
    <definedName name="보링공">[4]일위대가표!#REF!</definedName>
    <definedName name="보성을지" localSheetId="0">BlankMacro1</definedName>
    <definedName name="보성을지">BlankMacro1</definedName>
    <definedName name="보안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보을" localSheetId="0">BlankMacro1</definedName>
    <definedName name="보을">BlankMacro1</definedName>
    <definedName name="보통">'[67]4 노임단가'!$E$75</definedName>
    <definedName name="보통인부" localSheetId="0">#REF!</definedName>
    <definedName name="보통인부">#REF!</definedName>
    <definedName name="보통인부노" localSheetId="0">[23]Sheet6!#REF!</definedName>
    <definedName name="보통인부노">[23]Sheet6!#REF!</definedName>
    <definedName name="보험료" localSheetId="0">#REF!</definedName>
    <definedName name="보험료">#REF!</definedName>
    <definedName name="복구편측여유" localSheetId="0">#REF!</definedName>
    <definedName name="복구편측여유">#REF!</definedName>
    <definedName name="복리후생비" localSheetId="0">#REF!</definedName>
    <definedName name="복리후생비">#REF!</definedName>
    <definedName name="본사" localSheetId="0">'[52]5) 자가소모'!#REF!</definedName>
    <definedName name="본사">'[52]5) 자가소모'!#REF!</definedName>
    <definedName name="본사분" localSheetId="0">#REF!</definedName>
    <definedName name="본사분">#REF!</definedName>
    <definedName name="본사재료비" localSheetId="0">#REF!</definedName>
    <definedName name="본사재료비">#REF!</definedName>
    <definedName name="본선box" localSheetId="0">#REF!</definedName>
    <definedName name="본선box">#REF!</definedName>
    <definedName name="본선환기구" localSheetId="0">#REF!</definedName>
    <definedName name="본선환기구">#REF!</definedName>
    <definedName name="볼트식컨넥터" localSheetId="0">[4]일위대가표!#REF!</definedName>
    <definedName name="볼트식컨넥터">[4]일위대가표!#REF!</definedName>
    <definedName name="봄가을" localSheetId="0">#REF!</definedName>
    <definedName name="봄가을">#REF!</definedName>
    <definedName name="부가가치세">'[56]단가 (2)'!$H$14</definedName>
    <definedName name="부대">[88]설계!$A$15:$O$301</definedName>
    <definedName name="부대공">'[89]내역(중앙)'!$H$80</definedName>
    <definedName name="부대내역비교" localSheetId="0">#REF!</definedName>
    <definedName name="부대내역비교">#REF!</definedName>
    <definedName name="부대사항" localSheetId="0">#REF!</definedName>
    <definedName name="부대사항">#REF!</definedName>
    <definedName name="부서" localSheetId="0">#REF!</definedName>
    <definedName name="부서">#REF!</definedName>
    <definedName name="북부" localSheetId="0">'[52]5) 자가소모'!#REF!</definedName>
    <definedName name="북부">'[52]5) 자가소모'!#REF!</definedName>
    <definedName name="분전반" localSheetId="0">BlankMacro1</definedName>
    <definedName name="분전반">BlankMacro1</definedName>
    <definedName name="비_계_공" localSheetId="0">#REF!</definedName>
    <definedName name="비_계_공">#REF!</definedName>
    <definedName name="비계" localSheetId="0">#REF!</definedName>
    <definedName name="비계">#REF!</definedName>
    <definedName name="비계공" localSheetId="0">#REF!</definedName>
    <definedName name="비계공">#REF!</definedName>
    <definedName name="비목1" localSheetId="0">#REF!</definedName>
    <definedName name="비목1">#REF!</definedName>
    <definedName name="비목2" localSheetId="0">#REF!</definedName>
    <definedName name="비목2">#REF!</definedName>
    <definedName name="비목3" localSheetId="0">#REF!</definedName>
    <definedName name="비목3">#REF!</definedName>
    <definedName name="비목4" localSheetId="0">#REF!</definedName>
    <definedName name="비목4">#REF!</definedName>
    <definedName name="비율" localSheetId="0">#REF!</definedName>
    <definedName name="비율">#REF!</definedName>
    <definedName name="비파괴검사매수" localSheetId="0">'[90]배관자재-자재과코드사용하기로함'!#REF!</definedName>
    <definedName name="비파괴검사매수">'[90]배관자재-자재과코드사용하기로함'!#REF!</definedName>
    <definedName name="비할증노임" localSheetId="0">#REF!</definedName>
    <definedName name="비할증노임">#REF!</definedName>
    <definedName name="ㅅㅅㅅㅅ" localSheetId="0">[39]퇴충기초!#REF!</definedName>
    <definedName name="ㅅㅅㅅㅅ">[39]퇴충기초!#REF!</definedName>
    <definedName name="사고" localSheetId="0">'[52]5) 자가소모'!#REF!</definedName>
    <definedName name="사고">'[52]5) 자가소모'!#REF!</definedName>
    <definedName name="사급재료비" localSheetId="0">#REF!</definedName>
    <definedName name="사급재료비">#REF!</definedName>
    <definedName name="사업소" localSheetId="0">#REF!</definedName>
    <definedName name="사업소">#REF!</definedName>
    <definedName name="사업소분" localSheetId="0">#REF!</definedName>
    <definedName name="사업소분">#REF!</definedName>
    <definedName name="사원명부겉장" hidden="1">{#N/A,#N/A,FALSE,"계약직(여)"}</definedName>
    <definedName name="사원명부직브" hidden="1">{#N/A,#N/A,FALSE,"계약직(여)"}</definedName>
    <definedName name="산재보험료">'[56]단가 (2)'!$H$7</definedName>
    <definedName name="산출" localSheetId="0">#REF!</definedName>
    <definedName name="산출">#REF!</definedName>
    <definedName name="산출근거" localSheetId="0">'[91]2.1  노무비 평균단가산출'!#REF!</definedName>
    <definedName name="산출근거">'[91]2.1  노무비 평균단가산출'!#REF!</definedName>
    <definedName name="산출근거2" localSheetId="0">#REF!</definedName>
    <definedName name="산출근거2">#REF!</definedName>
    <definedName name="산출근거3" localSheetId="0">#REF!</definedName>
    <definedName name="산출근거3">#REF!</definedName>
    <definedName name="산출근거4" localSheetId="0">#REF!</definedName>
    <definedName name="산출근거4">#REF!</definedName>
    <definedName name="산출내역" localSheetId="0" hidden="1">[12]ST!#REF!</definedName>
    <definedName name="산출내역" hidden="1">[12]ST!#REF!</definedName>
    <definedName name="산출내역1" hidden="1">'[12]#REF'!$A$206:$Q$214</definedName>
    <definedName name="산출내역2001" localSheetId="0">#REF!</definedName>
    <definedName name="산출내역2001">#REF!</definedName>
    <definedName name="산출서">[92]중기일위대가!$K$25</definedName>
    <definedName name="삼각지_동력부하_List" localSheetId="0">#REF!</definedName>
    <definedName name="삼각지_동력부하_List">#REF!</definedName>
    <definedName name="상" localSheetId="0">#REF!</definedName>
    <definedName name="상">#REF!</definedName>
    <definedName name="상암" localSheetId="0">'[52]5) 자가소모'!#REF!</definedName>
    <definedName name="상암">'[52]5) 자가소모'!#REF!</definedName>
    <definedName name="상암자" localSheetId="0">'[52]5) 자가소모'!#REF!</definedName>
    <definedName name="상암자">'[52]5) 자가소모'!#REF!</definedName>
    <definedName name="서부" localSheetId="0">'[52]5) 자가소모'!#REF!</definedName>
    <definedName name="서부">'[52]5) 자가소모'!#REF!</definedName>
    <definedName name="석공" localSheetId="0">#REF!</definedName>
    <definedName name="석공">#REF!</definedName>
    <definedName name="선택영역" localSheetId="0">#REF!</definedName>
    <definedName name="선택영역">#REF!</definedName>
    <definedName name="설" localSheetId="0">#REF!</definedName>
    <definedName name="설">#REF!</definedName>
    <definedName name="설비건집계" localSheetId="0">#REF!</definedName>
    <definedName name="설비건집계">#REF!</definedName>
    <definedName name="설비내역" localSheetId="0">#REF!</definedName>
    <definedName name="설비내역">#REF!</definedName>
    <definedName name="설비내역서" localSheetId="0">#REF!</definedName>
    <definedName name="설비내역서">#REF!</definedName>
    <definedName name="설치비" localSheetId="0">#REF!</definedName>
    <definedName name="설치비">#REF!</definedName>
    <definedName name="세금과공과" localSheetId="0">#REF!</definedName>
    <definedName name="세금과공과">#REF!</definedName>
    <definedName name="세대수" localSheetId="0">#REF!</definedName>
    <definedName name="세대수">#REF!</definedName>
    <definedName name="셧터공" localSheetId="0">'[57]4 노임단가'!#REF!</definedName>
    <definedName name="셧터공">'[57]4 노임단가'!#REF!</definedName>
    <definedName name="소모품비" localSheetId="0">#REF!</definedName>
    <definedName name="소모품비">#REF!</definedName>
    <definedName name="소방공량산출서" localSheetId="0">BlankMacro1</definedName>
    <definedName name="소방공량산출서">BlankMacro1</definedName>
    <definedName name="소방설비" localSheetId="0">#REF!</definedName>
    <definedName name="소방설비">#REF!</definedName>
    <definedName name="소방설비총괄" localSheetId="0">#REF!</definedName>
    <definedName name="소방설비총괄">#REF!</definedName>
    <definedName name="손익" localSheetId="0">#REF!</definedName>
    <definedName name="손익">#REF!</definedName>
    <definedName name="송전전공" localSheetId="0">#REF!</definedName>
    <definedName name="송전전공">#REF!</definedName>
    <definedName name="송전활선전공" localSheetId="0">#REF!</definedName>
    <definedName name="송전활선전공">#REF!</definedName>
    <definedName name="숏크리트및지보공" localSheetId="0">#REF!</definedName>
    <definedName name="숏크리트및지보공">#REF!</definedName>
    <definedName name="수" localSheetId="0">[69]리스트!#REF!</definedName>
    <definedName name="수">[69]리스트!#REF!</definedName>
    <definedName name="수불" localSheetId="0">#REF!</definedName>
    <definedName name="수불">#REF!</definedName>
    <definedName name="수요자부담분">[93]관로종합명세!$H$5</definedName>
    <definedName name="수입보증금" localSheetId="0">#REF!</definedName>
    <definedName name="수입보증금">#REF!</definedName>
    <definedName name="수입이자율" localSheetId="0">#REF!</definedName>
    <definedName name="수입이자율">#REF!</definedName>
    <definedName name="수작업반장" localSheetId="0">'[57]4 노임단가'!#REF!</definedName>
    <definedName name="수작업반장">'[57]4 노임단가'!#REF!</definedName>
    <definedName name="수정사항집계표" localSheetId="0" hidden="1">[16]dummy!#REF!</definedName>
    <definedName name="수정사항집계표" hidden="1">[16]dummy!#REF!</definedName>
    <definedName name="수직구">'[89]내역(중앙)'!$H$3</definedName>
    <definedName name="순공사비">'[56]단가 (2)'!$H$10</definedName>
    <definedName name="순공사원가">'[56]단가 (2)'!$H$10</definedName>
    <definedName name="슬레이트공" localSheetId="0">'[57]4 노임단가'!#REF!</definedName>
    <definedName name="슬레이트공">'[57]4 노임단가'!#REF!</definedName>
    <definedName name="시간외근무_인사" localSheetId="0" hidden="1">'[12]#REF'!#REF!</definedName>
    <definedName name="시간외근무_인사" hidden="1">'[12]#REF'!#REF!</definedName>
    <definedName name="시공관리자명">[94]자료!$A$46:$A$68</definedName>
    <definedName name="시공측량사" localSheetId="0">#REF!</definedName>
    <definedName name="시공측량사">#REF!</definedName>
    <definedName name="시설투자계획2" hidden="1">{#N/A,#N/A,FALSE,"계약직(여)"}</definedName>
    <definedName name="시중노임" localSheetId="0">#REF!</definedName>
    <definedName name="시중노임">#REF!</definedName>
    <definedName name="시험비" localSheetId="0">#REF!</definedName>
    <definedName name="시험비">#REF!</definedName>
    <definedName name="신매" localSheetId="0">#REF!</definedName>
    <definedName name="신매">#REF!</definedName>
    <definedName name="신세" localSheetId="0">#REF!</definedName>
    <definedName name="신세">#REF!</definedName>
    <definedName name="신원" localSheetId="0">#REF!</definedName>
    <definedName name="신원">#REF!</definedName>
    <definedName name="실간접노무비" localSheetId="0">#REF!</definedName>
    <definedName name="실간접노무비">#REF!</definedName>
    <definedName name="실노무비" localSheetId="0">#REF!</definedName>
    <definedName name="실노무비">#REF!</definedName>
    <definedName name="실도급경비" localSheetId="0">#REF!</definedName>
    <definedName name="실도급경비">#REF!</definedName>
    <definedName name="실도장노임" localSheetId="0">#REF!</definedName>
    <definedName name="실도장노임">#REF!</definedName>
    <definedName name="실사급재료비" localSheetId="0">#REF!</definedName>
    <definedName name="실사급재료비">#REF!</definedName>
    <definedName name="실이윤" localSheetId="0">#REF!</definedName>
    <definedName name="실이윤">#REF!</definedName>
    <definedName name="실일반관리비" localSheetId="0">#REF!</definedName>
    <definedName name="실일반관리비">#REF!</definedName>
    <definedName name="실적1" localSheetId="0">#REF!</definedName>
    <definedName name="실적1">#REF!</definedName>
    <definedName name="실전기노임" localSheetId="0">#REF!</definedName>
    <definedName name="실전기노임">#REF!</definedName>
    <definedName name="실지입재료비" localSheetId="0">#REF!</definedName>
    <definedName name="실지입재료비">#REF!</definedName>
    <definedName name="실직접노무비" localSheetId="0">#REF!</definedName>
    <definedName name="실직접노무비">#REF!</definedName>
    <definedName name="실토공노임" localSheetId="0">#REF!</definedName>
    <definedName name="실토공노임">#REF!</definedName>
    <definedName name="실행" localSheetId="0">#REF!</definedName>
    <definedName name="실행">#REF!</definedName>
    <definedName name="실회사경비" localSheetId="0">#REF!</definedName>
    <definedName name="실회사경비">#REF!</definedName>
    <definedName name="ㅇ" localSheetId="0">[95]내역!#REF!</definedName>
    <definedName name="ㅇ">[95]내역!#REF!</definedName>
    <definedName name="ㅇ658">[96]전기요금합계!$C$29</definedName>
    <definedName name="ㅇㄱ1" localSheetId="0">#REF!</definedName>
    <definedName name="ㅇㄱ1">#REF!</definedName>
    <definedName name="ㅇㅇㅇ" localSheetId="0">[4]일위대가표!#REF!</definedName>
    <definedName name="ㅇㅇㅇ">[4]일위대가표!#REF!</definedName>
    <definedName name="아" localSheetId="0">#REF!</definedName>
    <definedName name="아">#REF!</definedName>
    <definedName name="아라" localSheetId="0">#REF!</definedName>
    <definedName name="아라">#REF!</definedName>
    <definedName name="아스타일공" localSheetId="0">'[57]4 노임단가'!#REF!</definedName>
    <definedName name="아스타일공">'[57]4 노임단가'!#REF!</definedName>
    <definedName name="아연도22" localSheetId="0">[4]일위대가표!#REF!</definedName>
    <definedName name="아연도22">[4]일위대가표!#REF!</definedName>
    <definedName name="아연도28" localSheetId="0">[4]일위대가표!#REF!</definedName>
    <definedName name="아연도28">[4]일위대가표!#REF!</definedName>
    <definedName name="아연도28C" localSheetId="0">[23]Sheet6!#REF!</definedName>
    <definedName name="아연도28C">[23]Sheet6!#REF!</definedName>
    <definedName name="아연도54C" localSheetId="0">[4]일위대가표!#REF!</definedName>
    <definedName name="아연도54C">[4]일위대가표!#REF!</definedName>
    <definedName name="아연양극" localSheetId="0">[4]일위대가표!#REF!</definedName>
    <definedName name="아연양극">[4]일위대가표!#REF!</definedName>
    <definedName name="아이" localSheetId="0">#REF!</definedName>
    <definedName name="아이">#REF!</definedName>
    <definedName name="아파트총물량" localSheetId="0">#REF!:#REF!</definedName>
    <definedName name="아파트총물량">#REF!:#REF!</definedName>
    <definedName name="안" hidden="1">[16]현금흐름표!$F$45</definedName>
    <definedName name="안전관리비" localSheetId="0">#REF!</definedName>
    <definedName name="안전관리비">#REF!</definedName>
    <definedName name="안전금리" localSheetId="0">#REF!</definedName>
    <definedName name="안전금리">#REF!</definedName>
    <definedName name="애자" localSheetId="0">[4]일위대가표!#REF!</definedName>
    <definedName name="애자">[4]일위대가표!#REF!</definedName>
    <definedName name="야간할증율">5%</definedName>
    <definedName name="양식" localSheetId="0">#REF!</definedName>
    <definedName name="양식">#REF!</definedName>
    <definedName name="여름" localSheetId="0">#REF!</definedName>
    <definedName name="여름">#REF!</definedName>
    <definedName name="여비교통통신" localSheetId="0">#REF!</definedName>
    <definedName name="여비교통통신">#REF!</definedName>
    <definedName name="여신교통비" localSheetId="0">#REF!</definedName>
    <definedName name="여신교통비">#REF!</definedName>
    <definedName name="역L형옹벽" localSheetId="0">[30]일위대가!#REF!</definedName>
    <definedName name="역L형옹벽">[30]일위대가!#REF!</definedName>
    <definedName name="연가입자수" localSheetId="0">#REF!</definedName>
    <definedName name="연가입자수">#REF!</definedName>
    <definedName name="연간" localSheetId="0">#REF!</definedName>
    <definedName name="연간">#REF!</definedName>
    <definedName name="연계비율" localSheetId="0">[97]분석기준!#REF!</definedName>
    <definedName name="연계비율">[97]분석기준!#REF!</definedName>
    <definedName name="연돌공" localSheetId="0">'[57]4 노임단가'!#REF!</definedName>
    <definedName name="연돌공">'[57]4 노임단가'!#REF!</definedName>
    <definedName name="연락처" localSheetId="0">#REF!</definedName>
    <definedName name="연락처">#REF!</definedName>
    <definedName name="연면적" localSheetId="0">#REF!</definedName>
    <definedName name="연면적">#REF!</definedName>
    <definedName name="연호정거장" localSheetId="0">#REF!</definedName>
    <definedName name="연호정거장">#REF!</definedName>
    <definedName name="영림기사" localSheetId="0">'[57]4 노임단가'!#REF!</definedName>
    <definedName name="영림기사">'[57]4 노임단가'!#REF!</definedName>
    <definedName name="예" localSheetId="0">BlankMacro1</definedName>
    <definedName name="예">BlankMacro1</definedName>
    <definedName name="예상공급량">'[62]분석(판매량)'!$A$46:$T$65</definedName>
    <definedName name="예상판매량">'[62]분석(판매량)'!$A$83:$T$102</definedName>
    <definedName name="온돌공" localSheetId="0">'[57]4 노임단가'!#REF!</definedName>
    <definedName name="온돌공">'[57]4 노임단가'!#REF!</definedName>
    <definedName name="완금" localSheetId="0">[4]일위대가표!#REF!</definedName>
    <definedName name="완금">[4]일위대가표!#REF!</definedName>
    <definedName name="외화예금" localSheetId="0">#REF!</definedName>
    <definedName name="외화예금">#REF!</definedName>
    <definedName name="외환수시" localSheetId="0">#REF!</definedName>
    <definedName name="외환수시">#REF!</definedName>
    <definedName name="요금" localSheetId="0">'[52]5) 자가소모'!#REF!</definedName>
    <definedName name="요금">'[52]5) 자가소모'!#REF!</definedName>
    <definedName name="요금단가표">'[62]분석(판매량)'!$U$46:$W$62</definedName>
    <definedName name="용두" localSheetId="0">'[52]5) 자가소모'!#REF!</definedName>
    <definedName name="용두">'[52]5) 자가소모'!#REF!</definedName>
    <definedName name="용두자" localSheetId="0">'[52]5) 자가소모'!#REF!</definedName>
    <definedName name="용두자">'[52]5) 자가소모'!#REF!</definedName>
    <definedName name="용량" localSheetId="0">'[32]1단계'!#REF!</definedName>
    <definedName name="용량">'[32]1단계'!#REF!</definedName>
    <definedName name="용접">'[67]4 노임단가'!$E$92</definedName>
    <definedName name="용접공" localSheetId="0">#REF!</definedName>
    <definedName name="용접공">#REF!</definedName>
    <definedName name="용접공_일반" localSheetId="0">#REF!</definedName>
    <definedName name="용접공_일반">#REF!</definedName>
    <definedName name="우리" localSheetId="0">#REF!</definedName>
    <definedName name="우리">#REF!</definedName>
    <definedName name="우물공" localSheetId="0">'[57]4 노임단가'!#REF!</definedName>
    <definedName name="우물공">'[57]4 노임단가'!#REF!</definedName>
    <definedName name="운반비" localSheetId="0">#REF!</definedName>
    <definedName name="운반비">#REF!</definedName>
    <definedName name="운전사_기계" localSheetId="0">#REF!</definedName>
    <definedName name="운전사_기계">#REF!</definedName>
    <definedName name="운전사_운반차" localSheetId="0">#REF!</definedName>
    <definedName name="운전사_운반차">#REF!</definedName>
    <definedName name="원" localSheetId="0">#REF!</definedName>
    <definedName name="원">#REF!</definedName>
    <definedName name="원20000" localSheetId="0">#REF!</definedName>
    <definedName name="원20000">#REF!</definedName>
    <definedName name="원가" localSheetId="0">#REF!</definedName>
    <definedName name="원가">#REF!</definedName>
    <definedName name="원가계산서" localSheetId="0">#REF!</definedName>
    <definedName name="원가계산서">#REF!</definedName>
    <definedName name="원재료수불부" localSheetId="0">#REF!</definedName>
    <definedName name="원재료수불부">#REF!</definedName>
    <definedName name="월검침량">'[74]공급일보(2)'!$B$64:$F$75</definedName>
    <definedName name="월공급량">'[74]공급일보(2)'!$B$64:$D$75</definedName>
    <definedName name="월매출액" localSheetId="0">#REF!</definedName>
    <definedName name="월매출액">#REF!</definedName>
    <definedName name="월별" localSheetId="0">#REF!</definedName>
    <definedName name="월별">#REF!</definedName>
    <definedName name="월사용료" localSheetId="0">#REF!</definedName>
    <definedName name="월사용료">#REF!</definedName>
    <definedName name="월임대료" localSheetId="0">#REF!</definedName>
    <definedName name="월임대료">#REF!</definedName>
    <definedName name="위생기구" localSheetId="0">'[98]내역서-설비'!#REF!</definedName>
    <definedName name="위생기구">'[98]내역서-설비'!#REF!</definedName>
    <definedName name="윙비트" localSheetId="0">[4]일위대가표!#REF!</definedName>
    <definedName name="윙비트">[4]일위대가표!#REF!</definedName>
    <definedName name="윙비트10" localSheetId="0">[4]일위대가표!#REF!</definedName>
    <definedName name="윙비트10">[4]일위대가표!#REF!</definedName>
    <definedName name="윙비트6" localSheetId="0">[99]Sheet1!#REF!</definedName>
    <definedName name="윙비트6">[99]Sheet1!#REF!</definedName>
    <definedName name="윙비트8" localSheetId="0">[4]일위대가표!#REF!</definedName>
    <definedName name="윙비트8">[4]일위대가표!#REF!</definedName>
    <definedName name="유리공" localSheetId="0">#REF!</definedName>
    <definedName name="유리공">#REF!</definedName>
    <definedName name="유산동" localSheetId="0">[4]일위대가표!#REF!</definedName>
    <definedName name="유산동">[4]일위대가표!#REF!</definedName>
    <definedName name="율">80%</definedName>
    <definedName name="은평" localSheetId="0">'[52]5) 자가소모'!#REF!</definedName>
    <definedName name="은평">'[52]5) 자가소모'!#REF!</definedName>
    <definedName name="은평자" localSheetId="0">'[52]5) 자가소모'!#REF!</definedName>
    <definedName name="은평자">'[52]5) 자가소모'!#REF!</definedName>
    <definedName name="은평자1111" localSheetId="0">'[52]5) 자가소모'!#REF!</definedName>
    <definedName name="은평자1111">'[52]5) 자가소모'!#REF!</definedName>
    <definedName name="을지">[100]기성내역!$A$2:$K$1601</definedName>
    <definedName name="이" localSheetId="0">#REF!</definedName>
    <definedName name="이">#REF!</definedName>
    <definedName name="이름" localSheetId="0">#REF!</definedName>
    <definedName name="이름">#REF!</definedName>
    <definedName name="이사람">[101]단가표!$A$7:$U$7</definedName>
    <definedName name="이설" localSheetId="0">#REF!</definedName>
    <definedName name="이설">#REF!</definedName>
    <definedName name="이윤">'[56]단가 (2)'!$H$12</definedName>
    <definedName name="이중관관경" localSheetId="0">#REF!</definedName>
    <definedName name="이중관관경">#REF!</definedName>
    <definedName name="이중관길이" localSheetId="0">'[90]배관자재-자재과코드사용하기로함'!#REF!</definedName>
    <definedName name="이중관길이">'[90]배관자재-자재과코드사용하기로함'!#REF!</definedName>
    <definedName name="이천" localSheetId="0">#REF!</definedName>
    <definedName name="이천">#REF!</definedName>
    <definedName name="인건비">[102]노무비!$B$3:$C$10</definedName>
    <definedName name="인건비1" localSheetId="0">'[103]CM 1'!#REF!</definedName>
    <definedName name="인건비1">'[103]CM 1'!#REF!</definedName>
    <definedName name="인사" localSheetId="0" hidden="1">#REF!</definedName>
    <definedName name="인사" hidden="1">#REF!</definedName>
    <definedName name="인사팀" localSheetId="0" hidden="1">[12]Sheet2!#REF!</definedName>
    <definedName name="인사팀" hidden="1">[12]Sheet2!#REF!</definedName>
    <definedName name="인상율">1%</definedName>
    <definedName name="인원충원사유" hidden="1">{#N/A,#N/A,FALSE,"계약직(여)"}</definedName>
    <definedName name="인지대" localSheetId="0">[104]자료!#REF!</definedName>
    <definedName name="인지대">[104]자료!#REF!</definedName>
    <definedName name="일20">'[105]12.일위대가'!$K$94</definedName>
    <definedName name="일반관리비">'[56]단가 (2)'!$H$11</definedName>
    <definedName name="일위" localSheetId="0">#REF!</definedName>
    <definedName name="일위">#REF!</definedName>
    <definedName name="일위146" localSheetId="0">'[106]12.일위대가'!#REF!</definedName>
    <definedName name="일위146">'[106]12.일위대가'!#REF!</definedName>
    <definedName name="일위147" localSheetId="0">'[106]12.일위대가'!#REF!</definedName>
    <definedName name="일위147">'[106]12.일위대가'!#REF!</definedName>
    <definedName name="일위156" localSheetId="0">'[106]12.일위대가'!#REF!</definedName>
    <definedName name="일위156">'[106]12.일위대가'!#REF!</definedName>
    <definedName name="일위157" localSheetId="0">'[106]12.일위대가'!#REF!</definedName>
    <definedName name="일위157">'[106]12.일위대가'!#REF!</definedName>
    <definedName name="일위158" localSheetId="0">'[106]12.일위대가'!#REF!</definedName>
    <definedName name="일위158">'[106]12.일위대가'!#REF!</definedName>
    <definedName name="일위159" localSheetId="0">'[106]12.일위대가'!#REF!</definedName>
    <definedName name="일위159">'[106]12.일위대가'!#REF!</definedName>
    <definedName name="일위160" localSheetId="0">'[106]12.일위대가'!#REF!</definedName>
    <definedName name="일위160">'[106]12.일위대가'!#REF!</definedName>
    <definedName name="일위161" localSheetId="0">'[106]12.일위대가'!#REF!</definedName>
    <definedName name="일위161">'[106]12.일위대가'!#REF!</definedName>
    <definedName name="일위162" localSheetId="0">'[106]12.일위대가'!#REF!</definedName>
    <definedName name="일위162">'[106]12.일위대가'!#REF!</definedName>
    <definedName name="일위163" localSheetId="0">'[106]12.일위대가'!#REF!</definedName>
    <definedName name="일위163">'[106]12.일위대가'!#REF!</definedName>
    <definedName name="일위165" localSheetId="0">'[106]12.일위대가'!#REF!</definedName>
    <definedName name="일위165">'[106]12.일위대가'!#REF!</definedName>
    <definedName name="일위169" localSheetId="0">'[106]12.일위대가'!#REF!</definedName>
    <definedName name="일위169">'[106]12.일위대가'!#REF!</definedName>
    <definedName name="일위170" localSheetId="0">'[106]12.일위대가'!#REF!</definedName>
    <definedName name="일위170">'[106]12.일위대가'!#REF!</definedName>
    <definedName name="일위171" localSheetId="0">'[106]12.일위대가'!#REF!</definedName>
    <definedName name="일위171">'[106]12.일위대가'!#REF!</definedName>
    <definedName name="일위172" localSheetId="0">'[106]12.일위대가'!#REF!</definedName>
    <definedName name="일위172">'[106]12.일위대가'!#REF!</definedName>
    <definedName name="일위173" localSheetId="0">'[106]12.일위대가'!#REF!</definedName>
    <definedName name="일위173">'[106]12.일위대가'!#REF!</definedName>
    <definedName name="일위174" localSheetId="0">'[106]12.일위대가'!#REF!</definedName>
    <definedName name="일위174">'[106]12.일위대가'!#REF!</definedName>
    <definedName name="일위175" localSheetId="0">'[106]12.일위대가'!#REF!</definedName>
    <definedName name="일위175">'[106]12.일위대가'!#REF!</definedName>
    <definedName name="일위176" localSheetId="0">'[106]12.일위대가'!#REF!</definedName>
    <definedName name="일위176">'[106]12.일위대가'!#REF!</definedName>
    <definedName name="일위177" localSheetId="0">'[106]12.일위대가'!#REF!</definedName>
    <definedName name="일위177">'[106]12.일위대가'!#REF!</definedName>
    <definedName name="일위178" localSheetId="0">'[106]12.일위대가'!#REF!</definedName>
    <definedName name="일위178">'[106]12.일위대가'!#REF!</definedName>
    <definedName name="일위179" localSheetId="0">'[106]12.일위대가'!#REF!</definedName>
    <definedName name="일위179">'[106]12.일위대가'!#REF!</definedName>
    <definedName name="일위180" localSheetId="0">'[106]12.일위대가'!#REF!</definedName>
    <definedName name="일위180">'[106]12.일위대가'!#REF!</definedName>
    <definedName name="일위182" localSheetId="0">'[106]12.일위대가'!#REF!</definedName>
    <definedName name="일위182">'[106]12.일위대가'!#REF!</definedName>
    <definedName name="일위183" localSheetId="0">'[106]12.일위대가'!#REF!</definedName>
    <definedName name="일위183">'[106]12.일위대가'!#REF!</definedName>
    <definedName name="일위184" localSheetId="0">'[106]12.일위대가'!#REF!</definedName>
    <definedName name="일위184">'[106]12.일위대가'!#REF!</definedName>
    <definedName name="일위185" localSheetId="0">'[106]12.일위대가'!#REF!</definedName>
    <definedName name="일위185">'[106]12.일위대가'!#REF!</definedName>
    <definedName name="일위186" localSheetId="0">'[106]12.일위대가'!#REF!</definedName>
    <definedName name="일위186">'[106]12.일위대가'!#REF!</definedName>
    <definedName name="일위187" localSheetId="0">'[106]12.일위대가'!#REF!</definedName>
    <definedName name="일위187">'[106]12.일위대가'!#REF!</definedName>
    <definedName name="일위252" localSheetId="0">'[106]12.일위대가'!#REF!</definedName>
    <definedName name="일위252">'[106]12.일위대가'!#REF!</definedName>
    <definedName name="일위255" localSheetId="0">'[106]12.일위대가'!#REF!</definedName>
    <definedName name="일위255">'[106]12.일위대가'!#REF!</definedName>
    <definedName name="일위256" localSheetId="0">'[106]12.일위대가'!#REF!</definedName>
    <definedName name="일위256">'[106]12.일위대가'!#REF!</definedName>
    <definedName name="일위259" localSheetId="0">'[106]12.일위대가'!#REF!</definedName>
    <definedName name="일위259">'[106]12.일위대가'!#REF!</definedName>
    <definedName name="일위262" localSheetId="0">'[106]12.일위대가'!#REF!</definedName>
    <definedName name="일위262">'[106]12.일위대가'!#REF!</definedName>
    <definedName name="일위263" localSheetId="0">'[106]12.일위대가'!#REF!</definedName>
    <definedName name="일위263">'[106]12.일위대가'!#REF!</definedName>
    <definedName name="일위265" localSheetId="0">'[106]12.일위대가'!#REF!</definedName>
    <definedName name="일위265">'[106]12.일위대가'!#REF!</definedName>
    <definedName name="일위266" localSheetId="0">'[106]12.일위대가'!#REF!</definedName>
    <definedName name="일위266">'[106]12.일위대가'!#REF!</definedName>
    <definedName name="일위267" localSheetId="0">'[106]12.일위대가'!#REF!</definedName>
    <definedName name="일위267">'[106]12.일위대가'!#REF!</definedName>
    <definedName name="일위269" localSheetId="0">'[106]12.일위대가'!#REF!</definedName>
    <definedName name="일위269">'[106]12.일위대가'!#REF!</definedName>
    <definedName name="일위270" localSheetId="0">'[106]12.일위대가'!#REF!</definedName>
    <definedName name="일위270">'[106]12.일위대가'!#REF!</definedName>
    <definedName name="일위272" localSheetId="0">'[106]12.일위대가'!#REF!</definedName>
    <definedName name="일위272">'[106]12.일위대가'!#REF!</definedName>
    <definedName name="일위273" localSheetId="0">'[106]12.일위대가'!#REF!</definedName>
    <definedName name="일위273">'[106]12.일위대가'!#REF!</definedName>
    <definedName name="일위274" localSheetId="0">'[106]12.일위대가'!#REF!</definedName>
    <definedName name="일위274">'[106]12.일위대가'!#REF!</definedName>
    <definedName name="일위276" localSheetId="0">'[106]12.일위대가'!#REF!</definedName>
    <definedName name="일위276">'[106]12.일위대가'!#REF!</definedName>
    <definedName name="일위277" localSheetId="0">'[106]12.일위대가'!#REF!</definedName>
    <definedName name="일위277">'[106]12.일위대가'!#REF!</definedName>
    <definedName name="일위286" localSheetId="0">'[106]12.일위대가'!#REF!</definedName>
    <definedName name="일위286">'[106]12.일위대가'!#REF!</definedName>
    <definedName name="일위304" localSheetId="0">'[106]12.일위대가'!#REF!</definedName>
    <definedName name="일위304">'[106]12.일위대가'!#REF!</definedName>
    <definedName name="일위313" localSheetId="0">'[106]12.일위대가'!#REF!</definedName>
    <definedName name="일위313">'[106]12.일위대가'!#REF!</definedName>
    <definedName name="일위314" localSheetId="0">'[106]12.일위대가'!#REF!</definedName>
    <definedName name="일위314">'[106]12.일위대가'!#REF!</definedName>
    <definedName name="일위315" localSheetId="0">'[106]12.일위대가'!#REF!</definedName>
    <definedName name="일위315">'[106]12.일위대가'!#REF!</definedName>
    <definedName name="일위316" localSheetId="0">'[106]12.일위대가'!#REF!</definedName>
    <definedName name="일위316">'[106]12.일위대가'!#REF!</definedName>
    <definedName name="일위317" localSheetId="0">'[106]12.일위대가'!#REF!</definedName>
    <definedName name="일위317">'[106]12.일위대가'!#REF!</definedName>
    <definedName name="일위318" localSheetId="0">'[106]12.일위대가'!#REF!</definedName>
    <definedName name="일위318">'[106]12.일위대가'!#REF!</definedName>
    <definedName name="일위319" localSheetId="0">'[106]12.일위대가'!#REF!</definedName>
    <definedName name="일위319">'[106]12.일위대가'!#REF!</definedName>
    <definedName name="일위320" localSheetId="0">'[106]12.일위대가'!#REF!</definedName>
    <definedName name="일위320">'[106]12.일위대가'!#REF!</definedName>
    <definedName name="일위321" localSheetId="0">'[106]12.일위대가'!#REF!</definedName>
    <definedName name="일위321">'[106]12.일위대가'!#REF!</definedName>
    <definedName name="일위322" localSheetId="0">'[106]12.일위대가'!#REF!</definedName>
    <definedName name="일위322">'[106]12.일위대가'!#REF!</definedName>
    <definedName name="일위323" localSheetId="0">'[106]12.일위대가'!#REF!</definedName>
    <definedName name="일위323">'[106]12.일위대가'!#REF!</definedName>
    <definedName name="일위325" localSheetId="0">'[106]12.일위대가'!#REF!</definedName>
    <definedName name="일위325">'[106]12.일위대가'!#REF!</definedName>
    <definedName name="일위328" localSheetId="0">'[106]12.일위대가'!#REF!</definedName>
    <definedName name="일위328">'[106]12.일위대가'!#REF!</definedName>
    <definedName name="일위329" localSheetId="0">'[106]12.일위대가'!#REF!</definedName>
    <definedName name="일위329">'[106]12.일위대가'!#REF!</definedName>
    <definedName name="일위330" localSheetId="0">'[106]12.일위대가'!#REF!</definedName>
    <definedName name="일위330">'[106]12.일위대가'!#REF!</definedName>
    <definedName name="일위331" localSheetId="0">'[106]12.일위대가'!#REF!</definedName>
    <definedName name="일위331">'[106]12.일위대가'!#REF!</definedName>
    <definedName name="일위332" localSheetId="0">'[106]12.일위대가'!#REF!</definedName>
    <definedName name="일위332">'[106]12.일위대가'!#REF!</definedName>
    <definedName name="일위333" localSheetId="0">'[106]12.일위대가'!#REF!</definedName>
    <definedName name="일위333">'[106]12.일위대가'!#REF!</definedName>
    <definedName name="일위334" localSheetId="0">'[106]12.일위대가'!#REF!</definedName>
    <definedName name="일위334">'[106]12.일위대가'!#REF!</definedName>
    <definedName name="일위335" localSheetId="0">'[106]12.일위대가'!#REF!</definedName>
    <definedName name="일위335">'[106]12.일위대가'!#REF!</definedName>
    <definedName name="일위336" localSheetId="0">'[106]12.일위대가'!#REF!</definedName>
    <definedName name="일위336">'[106]12.일위대가'!#REF!</definedName>
    <definedName name="일위337" localSheetId="0">'[106]12.일위대가'!#REF!</definedName>
    <definedName name="일위337">'[106]12.일위대가'!#REF!</definedName>
    <definedName name="일위338" localSheetId="0">'[106]12.일위대가'!#REF!</definedName>
    <definedName name="일위338">'[106]12.일위대가'!#REF!</definedName>
    <definedName name="일위339" localSheetId="0">'[106]12.일위대가'!#REF!</definedName>
    <definedName name="일위339">'[106]12.일위대가'!#REF!</definedName>
    <definedName name="일위340" localSheetId="0">'[106]12.일위대가'!#REF!</definedName>
    <definedName name="일위340">'[106]12.일위대가'!#REF!</definedName>
    <definedName name="일위341" localSheetId="0">'[106]12.일위대가'!#REF!</definedName>
    <definedName name="일위341">'[106]12.일위대가'!#REF!</definedName>
    <definedName name="일위342" localSheetId="0">'[106]12.일위대가'!#REF!</definedName>
    <definedName name="일위342">'[106]12.일위대가'!#REF!</definedName>
    <definedName name="일위343" localSheetId="0">'[106]12.일위대가'!#REF!</definedName>
    <definedName name="일위343">'[106]12.일위대가'!#REF!</definedName>
    <definedName name="일위344" localSheetId="0">'[106]12.일위대가'!#REF!</definedName>
    <definedName name="일위344">'[106]12.일위대가'!#REF!</definedName>
    <definedName name="일위345" localSheetId="0">'[106]12.일위대가'!#REF!</definedName>
    <definedName name="일위345">'[106]12.일위대가'!#REF!</definedName>
    <definedName name="일위346" localSheetId="0">'[106]12.일위대가'!#REF!</definedName>
    <definedName name="일위346">'[106]12.일위대가'!#REF!</definedName>
    <definedName name="일위347" localSheetId="0">'[106]12.일위대가'!#REF!</definedName>
    <definedName name="일위347">'[106]12.일위대가'!#REF!</definedName>
    <definedName name="일위348" localSheetId="0">'[106]12.일위대가'!#REF!</definedName>
    <definedName name="일위348">'[106]12.일위대가'!#REF!</definedName>
    <definedName name="일위349" localSheetId="0">'[106]12.일위대가'!#REF!</definedName>
    <definedName name="일위349">'[106]12.일위대가'!#REF!</definedName>
    <definedName name="일위372" localSheetId="0">'[106]12.일위대가'!#REF!</definedName>
    <definedName name="일위372">'[106]12.일위대가'!#REF!</definedName>
    <definedName name="일위373" localSheetId="0">'[106]12.일위대가'!#REF!</definedName>
    <definedName name="일위373">'[106]12.일위대가'!#REF!</definedName>
    <definedName name="일위374" localSheetId="0">'[106]12.일위대가'!#REF!</definedName>
    <definedName name="일위374">'[106]12.일위대가'!#REF!</definedName>
    <definedName name="일위375" localSheetId="0">'[106]12.일위대가'!#REF!</definedName>
    <definedName name="일위375">'[106]12.일위대가'!#REF!</definedName>
    <definedName name="일위376" localSheetId="0">'[106]12.일위대가'!#REF!</definedName>
    <definedName name="일위376">'[106]12.일위대가'!#REF!</definedName>
    <definedName name="일위377" localSheetId="0">'[106]12.일위대가'!#REF!</definedName>
    <definedName name="일위377">'[106]12.일위대가'!#REF!</definedName>
    <definedName name="일위378" localSheetId="0">'[106]12.일위대가'!#REF!</definedName>
    <definedName name="일위378">'[106]12.일위대가'!#REF!</definedName>
    <definedName name="일위379" localSheetId="0">'[106]12.일위대가'!#REF!</definedName>
    <definedName name="일위379">'[106]12.일위대가'!#REF!</definedName>
    <definedName name="일위380" localSheetId="0">'[106]12.일위대가'!#REF!</definedName>
    <definedName name="일위380">'[106]12.일위대가'!#REF!</definedName>
    <definedName name="일위381" localSheetId="0">'[106]12.일위대가'!#REF!</definedName>
    <definedName name="일위381">'[106]12.일위대가'!#REF!</definedName>
    <definedName name="일위382" localSheetId="0">'[106]12.일위대가'!#REF!</definedName>
    <definedName name="일위382">'[106]12.일위대가'!#REF!</definedName>
    <definedName name="일위383" localSheetId="0">'[106]12.일위대가'!#REF!</definedName>
    <definedName name="일위383">'[106]12.일위대가'!#REF!</definedName>
    <definedName name="일위384" localSheetId="0">'[106]12.일위대가'!#REF!</definedName>
    <definedName name="일위384">'[106]12.일위대가'!#REF!</definedName>
    <definedName name="일위385" localSheetId="0">'[106]12.일위대가'!#REF!</definedName>
    <definedName name="일위385">'[106]12.일위대가'!#REF!</definedName>
    <definedName name="일위386" localSheetId="0">'[106]12.일위대가'!#REF!</definedName>
    <definedName name="일위386">'[106]12.일위대가'!#REF!</definedName>
    <definedName name="일위387" localSheetId="0">'[106]12.일위대가'!#REF!</definedName>
    <definedName name="일위387">'[106]12.일위대가'!#REF!</definedName>
    <definedName name="일위388" localSheetId="0">'[106]12.일위대가'!#REF!</definedName>
    <definedName name="일위388">'[106]12.일위대가'!#REF!</definedName>
    <definedName name="일위389" localSheetId="0">'[106]12.일위대가'!#REF!</definedName>
    <definedName name="일위389">'[106]12.일위대가'!#REF!</definedName>
    <definedName name="일위390" localSheetId="0">'[106]12.일위대가'!#REF!</definedName>
    <definedName name="일위390">'[106]12.일위대가'!#REF!</definedName>
    <definedName name="일위391" localSheetId="0">'[106]12.일위대가'!#REF!</definedName>
    <definedName name="일위391">'[106]12.일위대가'!#REF!</definedName>
    <definedName name="일위392" localSheetId="0">'[106]12.일위대가'!#REF!</definedName>
    <definedName name="일위392">'[106]12.일위대가'!#REF!</definedName>
    <definedName name="일위393" localSheetId="0">'[106]12.일위대가'!#REF!</definedName>
    <definedName name="일위393">'[106]12.일위대가'!#REF!</definedName>
    <definedName name="일위394" localSheetId="0">'[106]12.일위대가'!#REF!</definedName>
    <definedName name="일위394">'[106]12.일위대가'!#REF!</definedName>
    <definedName name="일위395" localSheetId="0">'[106]12.일위대가'!#REF!</definedName>
    <definedName name="일위395">'[106]12.일위대가'!#REF!</definedName>
    <definedName name="일위396" localSheetId="0">'[106]12.일위대가'!#REF!</definedName>
    <definedName name="일위396">'[106]12.일위대가'!#REF!</definedName>
    <definedName name="일위397" localSheetId="0">'[106]12.일위대가'!#REF!</definedName>
    <definedName name="일위397">'[106]12.일위대가'!#REF!</definedName>
    <definedName name="일위398" localSheetId="0">'[106]12.일위대가'!#REF!</definedName>
    <definedName name="일위398">'[106]12.일위대가'!#REF!</definedName>
    <definedName name="일위399" localSheetId="0">'[106]12.일위대가'!#REF!</definedName>
    <definedName name="일위399">'[106]12.일위대가'!#REF!</definedName>
    <definedName name="일위400" localSheetId="0">'[106]12.일위대가'!#REF!</definedName>
    <definedName name="일위400">'[106]12.일위대가'!#REF!</definedName>
    <definedName name="일위401" localSheetId="0">'[106]12.일위대가'!#REF!</definedName>
    <definedName name="일위401">'[106]12.일위대가'!#REF!</definedName>
    <definedName name="일위402" localSheetId="0">'[106]12.일위대가'!#REF!</definedName>
    <definedName name="일위402">'[106]12.일위대가'!#REF!</definedName>
    <definedName name="일위403" localSheetId="0">'[106]12.일위대가'!#REF!</definedName>
    <definedName name="일위403">'[106]12.일위대가'!#REF!</definedName>
    <definedName name="일위405" localSheetId="0">'[106]12.일위대가'!#REF!</definedName>
    <definedName name="일위405">'[106]12.일위대가'!#REF!</definedName>
    <definedName name="일위406" localSheetId="0">'[106]12.일위대가'!#REF!</definedName>
    <definedName name="일위406">'[106]12.일위대가'!#REF!</definedName>
    <definedName name="일위407" localSheetId="0">'[106]12.일위대가'!#REF!</definedName>
    <definedName name="일위407">'[106]12.일위대가'!#REF!</definedName>
    <definedName name="일위408" localSheetId="0">'[106]12.일위대가'!#REF!</definedName>
    <definedName name="일위408">'[106]12.일위대가'!#REF!</definedName>
    <definedName name="일위409" localSheetId="0">'[106]12.일위대가'!#REF!</definedName>
    <definedName name="일위409">'[106]12.일위대가'!#REF!</definedName>
    <definedName name="일위416" localSheetId="0">'[106]12.일위대가'!#REF!</definedName>
    <definedName name="일위416">'[106]12.일위대가'!#REF!</definedName>
    <definedName name="일위418" localSheetId="0">'[106]12.일위대가'!#REF!</definedName>
    <definedName name="일위418">'[106]12.일위대가'!#REF!</definedName>
    <definedName name="일위419" localSheetId="0">'[106]12.일위대가'!#REF!</definedName>
    <definedName name="일위419">'[106]12.일위대가'!#REF!</definedName>
    <definedName name="일위420" localSheetId="0">'[106]12.일위대가'!#REF!</definedName>
    <definedName name="일위420">'[106]12.일위대가'!#REF!</definedName>
    <definedName name="일위422" localSheetId="0">'[106]12.일위대가'!#REF!</definedName>
    <definedName name="일위422">'[106]12.일위대가'!#REF!</definedName>
    <definedName name="일위424" localSheetId="0">'[106]12.일위대가'!#REF!</definedName>
    <definedName name="일위424">'[106]12.일위대가'!#REF!</definedName>
    <definedName name="일위425" localSheetId="0">'[106]12.일위대가'!#REF!</definedName>
    <definedName name="일위425">'[106]12.일위대가'!#REF!</definedName>
    <definedName name="일위426" localSheetId="0">'[106]12.일위대가'!#REF!</definedName>
    <definedName name="일위426">'[106]12.일위대가'!#REF!</definedName>
    <definedName name="일위428" localSheetId="0">'[106]12.일위대가'!#REF!</definedName>
    <definedName name="일위428">'[106]12.일위대가'!#REF!</definedName>
    <definedName name="일위434" localSheetId="0">'[106]12.일위대가'!#REF!</definedName>
    <definedName name="일위434">'[106]12.일위대가'!#REF!</definedName>
    <definedName name="일위442" localSheetId="0">'[106]12.일위대가'!#REF!</definedName>
    <definedName name="일위442">'[106]12.일위대가'!#REF!</definedName>
    <definedName name="일위443" localSheetId="0">'[106]12.일위대가'!#REF!</definedName>
    <definedName name="일위443">'[106]12.일위대가'!#REF!</definedName>
    <definedName name="일위444" localSheetId="0">'[106]12.일위대가'!#REF!</definedName>
    <definedName name="일위444">'[106]12.일위대가'!#REF!</definedName>
    <definedName name="일위446" localSheetId="0">'[106]12.일위대가'!#REF!</definedName>
    <definedName name="일위446">'[106]12.일위대가'!#REF!</definedName>
    <definedName name="일위447" localSheetId="0">'[106]12.일위대가'!#REF!</definedName>
    <definedName name="일위447">'[106]12.일위대가'!#REF!</definedName>
    <definedName name="일위448" localSheetId="0">'[106]12.일위대가'!#REF!</definedName>
    <definedName name="일위448">'[106]12.일위대가'!#REF!</definedName>
    <definedName name="일위450" localSheetId="0">'[106]12.일위대가'!#REF!</definedName>
    <definedName name="일위450">'[106]12.일위대가'!#REF!</definedName>
    <definedName name="일위451" localSheetId="0">'[106]12.일위대가'!#REF!</definedName>
    <definedName name="일위451">'[106]12.일위대가'!#REF!</definedName>
    <definedName name="일위453" localSheetId="0">'[106]12.일위대가'!#REF!</definedName>
    <definedName name="일위453">'[106]12.일위대가'!#REF!</definedName>
    <definedName name="일위454" localSheetId="0">'[106]12.일위대가'!#REF!</definedName>
    <definedName name="일위454">'[106]12.일위대가'!#REF!</definedName>
    <definedName name="일위455" localSheetId="0">'[106]12.일위대가'!#REF!</definedName>
    <definedName name="일위455">'[106]12.일위대가'!#REF!</definedName>
    <definedName name="일위457" localSheetId="0">'[106]12.일위대가'!#REF!</definedName>
    <definedName name="일위457">'[106]12.일위대가'!#REF!</definedName>
    <definedName name="일위458" localSheetId="0">'[106]12.일위대가'!#REF!</definedName>
    <definedName name="일위458">'[106]12.일위대가'!#REF!</definedName>
    <definedName name="일위459" localSheetId="0">'[106]12.일위대가'!#REF!</definedName>
    <definedName name="일위459">'[106]12.일위대가'!#REF!</definedName>
    <definedName name="일위460" localSheetId="0">'[106]12.일위대가'!#REF!</definedName>
    <definedName name="일위460">'[106]12.일위대가'!#REF!</definedName>
    <definedName name="일위461" localSheetId="0">'[106]12.일위대가'!#REF!</definedName>
    <definedName name="일위461">'[106]12.일위대가'!#REF!</definedName>
    <definedName name="일위462" localSheetId="0">'[106]12.일위대가'!#REF!</definedName>
    <definedName name="일위462">'[106]12.일위대가'!#REF!</definedName>
    <definedName name="일위463" localSheetId="0">'[106]12.일위대가'!#REF!</definedName>
    <definedName name="일위463">'[106]12.일위대가'!#REF!</definedName>
    <definedName name="일위464" localSheetId="0">'[106]12.일위대가'!#REF!</definedName>
    <definedName name="일위464">'[106]12.일위대가'!#REF!</definedName>
    <definedName name="일위465" localSheetId="0">'[106]12.일위대가'!#REF!</definedName>
    <definedName name="일위465">'[106]12.일위대가'!#REF!</definedName>
    <definedName name="일위466" localSheetId="0">'[106]12.일위대가'!#REF!</definedName>
    <definedName name="일위466">'[106]12.일위대가'!#REF!</definedName>
    <definedName name="일위467" localSheetId="0">'[106]12.일위대가'!#REF!</definedName>
    <definedName name="일위467">'[106]12.일위대가'!#REF!</definedName>
    <definedName name="일위468" localSheetId="0">'[106]12.일위대가'!#REF!</definedName>
    <definedName name="일위468">'[106]12.일위대가'!#REF!</definedName>
    <definedName name="일위469" localSheetId="0">'[106]12.일위대가'!#REF!</definedName>
    <definedName name="일위469">'[106]12.일위대가'!#REF!</definedName>
    <definedName name="일위470" localSheetId="0">'[106]12.일위대가'!#REF!</definedName>
    <definedName name="일위470">'[106]12.일위대가'!#REF!</definedName>
    <definedName name="일위471" localSheetId="0">'[106]12.일위대가'!#REF!</definedName>
    <definedName name="일위471">'[106]12.일위대가'!#REF!</definedName>
    <definedName name="일위472" localSheetId="0">'[106]12.일위대가'!#REF!</definedName>
    <definedName name="일위472">'[106]12.일위대가'!#REF!</definedName>
    <definedName name="일위473" localSheetId="0">'[106]12.일위대가'!#REF!</definedName>
    <definedName name="일위473">'[106]12.일위대가'!#REF!</definedName>
    <definedName name="일위474" localSheetId="0">'[106]12.일위대가'!#REF!</definedName>
    <definedName name="일위474">'[106]12.일위대가'!#REF!</definedName>
    <definedName name="일위475" localSheetId="0">'[106]12.일위대가'!#REF!</definedName>
    <definedName name="일위475">'[106]12.일위대가'!#REF!</definedName>
    <definedName name="일위476" localSheetId="0">'[106]12.일위대가'!#REF!</definedName>
    <definedName name="일위476">'[106]12.일위대가'!#REF!</definedName>
    <definedName name="일위477" localSheetId="0">'[106]12.일위대가'!#REF!</definedName>
    <definedName name="일위477">'[106]12.일위대가'!#REF!</definedName>
    <definedName name="일위478" localSheetId="0">'[106]12.일위대가'!#REF!</definedName>
    <definedName name="일위478">'[106]12.일위대가'!#REF!</definedName>
    <definedName name="일위479" localSheetId="0">'[106]12.일위대가'!#REF!</definedName>
    <definedName name="일위479">'[106]12.일위대가'!#REF!</definedName>
    <definedName name="일위480" localSheetId="0">'[106]12.일위대가'!#REF!</definedName>
    <definedName name="일위480">'[106]12.일위대가'!#REF!</definedName>
    <definedName name="일위481" localSheetId="0">'[106]12.일위대가'!#REF!</definedName>
    <definedName name="일위481">'[106]12.일위대가'!#REF!</definedName>
    <definedName name="일위482" localSheetId="0">'[106]12.일위대가'!#REF!</definedName>
    <definedName name="일위482">'[106]12.일위대가'!#REF!</definedName>
    <definedName name="일위483" localSheetId="0">'[106]12.일위대가'!#REF!</definedName>
    <definedName name="일위483">'[106]12.일위대가'!#REF!</definedName>
    <definedName name="일위484" localSheetId="0">'[106]12.일위대가'!#REF!</definedName>
    <definedName name="일위484">'[106]12.일위대가'!#REF!</definedName>
    <definedName name="일위485" localSheetId="0">'[106]12.일위대가'!#REF!</definedName>
    <definedName name="일위485">'[106]12.일위대가'!#REF!</definedName>
    <definedName name="일위487" localSheetId="0">'[106]12.일위대가'!#REF!</definedName>
    <definedName name="일위487">'[106]12.일위대가'!#REF!</definedName>
    <definedName name="일위488" localSheetId="0">'[106]12.일위대가'!#REF!</definedName>
    <definedName name="일위488">'[106]12.일위대가'!#REF!</definedName>
    <definedName name="일위489" localSheetId="0">'[106]12.일위대가'!#REF!</definedName>
    <definedName name="일위489">'[106]12.일위대가'!#REF!</definedName>
    <definedName name="일위490" localSheetId="0">'[106]12.일위대가'!#REF!</definedName>
    <definedName name="일위490">'[106]12.일위대가'!#REF!</definedName>
    <definedName name="일위491" localSheetId="0">'[106]12.일위대가'!#REF!</definedName>
    <definedName name="일위491">'[106]12.일위대가'!#REF!</definedName>
    <definedName name="일위495" localSheetId="0">'[106]12.일위대가'!#REF!</definedName>
    <definedName name="일위495">'[106]12.일위대가'!#REF!</definedName>
    <definedName name="일위496" localSheetId="0">'[106]12.일위대가'!#REF!</definedName>
    <definedName name="일위496">'[106]12.일위대가'!#REF!</definedName>
    <definedName name="일위497" localSheetId="0">'[106]12.일위대가'!#REF!</definedName>
    <definedName name="일위497">'[106]12.일위대가'!#REF!</definedName>
    <definedName name="일위498" localSheetId="0">'[106]12.일위대가'!#REF!</definedName>
    <definedName name="일위498">'[106]12.일위대가'!#REF!</definedName>
    <definedName name="일위499" localSheetId="0">'[106]12.일위대가'!#REF!</definedName>
    <definedName name="일위499">'[106]12.일위대가'!#REF!</definedName>
    <definedName name="일위500" localSheetId="0">'[106]12.일위대가'!#REF!</definedName>
    <definedName name="일위500">'[106]12.일위대가'!#REF!</definedName>
    <definedName name="일위501" localSheetId="0">'[106]12.일위대가'!#REF!</definedName>
    <definedName name="일위501">'[106]12.일위대가'!#REF!</definedName>
    <definedName name="일위502" localSheetId="0">'[106]12.일위대가'!#REF!</definedName>
    <definedName name="일위502">'[106]12.일위대가'!#REF!</definedName>
    <definedName name="일위503" localSheetId="0">'[106]12.일위대가'!#REF!</definedName>
    <definedName name="일위503">'[106]12.일위대가'!#REF!</definedName>
    <definedName name="일위504" localSheetId="0">'[106]12.일위대가'!#REF!</definedName>
    <definedName name="일위504">'[106]12.일위대가'!#REF!</definedName>
    <definedName name="일위505" localSheetId="0">'[106]12.일위대가'!#REF!</definedName>
    <definedName name="일위505">'[106]12.일위대가'!#REF!</definedName>
    <definedName name="일위506" localSheetId="0">'[106]12.일위대가'!#REF!</definedName>
    <definedName name="일위506">'[106]12.일위대가'!#REF!</definedName>
    <definedName name="일위510" localSheetId="0">'[106]12.일위대가'!#REF!</definedName>
    <definedName name="일위510">'[106]12.일위대가'!#REF!</definedName>
    <definedName name="일위511" localSheetId="0">'[106]12.일위대가'!#REF!</definedName>
    <definedName name="일위511">'[106]12.일위대가'!#REF!</definedName>
    <definedName name="일위514" localSheetId="0">'[106]12.일위대가'!#REF!</definedName>
    <definedName name="일위514">'[106]12.일위대가'!#REF!</definedName>
    <definedName name="일위515" localSheetId="0">'[106]12.일위대가'!#REF!</definedName>
    <definedName name="일위515">'[106]12.일위대가'!#REF!</definedName>
    <definedName name="일위516" localSheetId="0">'[106]12.일위대가'!#REF!</definedName>
    <definedName name="일위516">'[106]12.일위대가'!#REF!</definedName>
    <definedName name="일위517" localSheetId="0">'[106]12.일위대가'!#REF!</definedName>
    <definedName name="일위517">'[106]12.일위대가'!#REF!</definedName>
    <definedName name="일위545" localSheetId="0">'[106]12.일위대가'!#REF!</definedName>
    <definedName name="일위545">'[106]12.일위대가'!#REF!</definedName>
    <definedName name="일위9" localSheetId="0">'[106]12.일위대가'!#REF!</definedName>
    <definedName name="일위9">'[106]12.일위대가'!#REF!</definedName>
    <definedName name="일위대가" localSheetId="0">#REF!</definedName>
    <definedName name="일위대가">#REF!</definedName>
    <definedName name="일위대가_본사" localSheetId="0">Dlog_Show</definedName>
    <definedName name="일위대가_본사">Dlog_Show</definedName>
    <definedName name="ㅈㄷㄷ">[0]!ㅈㄷㄷ</definedName>
    <definedName name="ㅈㅈ">'[107]unit 4'!$A$6:$Q$603</definedName>
    <definedName name="자" localSheetId="0">'[69]폐기(자본지출)'!#REF!</definedName>
    <definedName name="자">'[69]폐기(자본지출)'!#REF!</definedName>
    <definedName name="자_산_단_위" localSheetId="0">[2]물가변동3!#REF!</definedName>
    <definedName name="자_산_단_위">[2]물가변동3!#REF!</definedName>
    <definedName name="자갈" localSheetId="0">[4]일위대가표!#REF!</definedName>
    <definedName name="자갈">[4]일위대가표!#REF!</definedName>
    <definedName name="자산" localSheetId="0">'[69]폐기(자본지출)'!#REF!</definedName>
    <definedName name="자산">'[69]폐기(자본지출)'!#REF!</definedName>
    <definedName name="자재Rray1" localSheetId="0">'[90]배관자재-자재과코드사용하기로함'!#REF!</definedName>
    <definedName name="자재Rray1">'[90]배관자재-자재과코드사용하기로함'!#REF!</definedName>
    <definedName name="자재Rray2" localSheetId="0">'[90]배관자재-자재과코드사용하기로함'!#REF!</definedName>
    <definedName name="자재Rray2">'[90]배관자재-자재과코드사용하기로함'!#REF!</definedName>
    <definedName name="자재관경1" localSheetId="0">'[90]배관자재-자재과코드사용하기로함'!#REF!</definedName>
    <definedName name="자재관경1">'[90]배관자재-자재과코드사용하기로함'!#REF!</definedName>
    <definedName name="자재관경2" localSheetId="0">'[90]배관자재-자재과코드사용하기로함'!#REF!</definedName>
    <definedName name="자재관경2">'[90]배관자재-자재과코드사용하기로함'!#REF!</definedName>
    <definedName name="자재비1" localSheetId="0">'[103]CM 1'!#REF!</definedName>
    <definedName name="자재비1">'[103]CM 1'!#REF!</definedName>
    <definedName name="자재시트1" localSheetId="0">'[90]배관자재-자재과코드사용하기로함'!#REF!</definedName>
    <definedName name="자재시트1">'[90]배관자재-자재과코드사용하기로함'!#REF!</definedName>
    <definedName name="자재시트2" localSheetId="0">'[90]배관자재-자재과코드사용하기로함'!#REF!</definedName>
    <definedName name="자재시트2">'[90]배관자재-자재과코드사용하기로함'!#REF!</definedName>
    <definedName name="자재용접1" localSheetId="0">'[90]배관자재-자재과코드사용하기로함'!#REF!</definedName>
    <definedName name="자재용접1">'[90]배관자재-자재과코드사용하기로함'!#REF!</definedName>
    <definedName name="자재용접2" localSheetId="0">'[90]배관자재-자재과코드사용하기로함'!#REF!</definedName>
    <definedName name="자재용접2">'[90]배관자재-자재과코드사용하기로함'!#REF!</definedName>
    <definedName name="자재융착1" localSheetId="0">'[90]배관자재-자재과코드사용하기로함'!#REF!</definedName>
    <definedName name="자재융착1">'[90]배관자재-자재과코드사용하기로함'!#REF!</definedName>
    <definedName name="자재융착2" localSheetId="0">'[90]배관자재-자재과코드사용하기로함'!#REF!</definedName>
    <definedName name="자재융착2">'[90]배관자재-자재과코드사용하기로함'!#REF!</definedName>
    <definedName name="자재절단" localSheetId="0">'[90]배관자재-자재과코드사용하기로함'!#REF!</definedName>
    <definedName name="자재절단">'[90]배관자재-자재과코드사용하기로함'!#REF!</definedName>
    <definedName name="작성자" localSheetId="0">#REF!</definedName>
    <definedName name="작성자">#REF!</definedName>
    <definedName name="작업반장" localSheetId="0">#REF!</definedName>
    <definedName name="작업반장">#REF!</definedName>
    <definedName name="잔고일" localSheetId="0">#REF!</definedName>
    <definedName name="잔고일">#REF!</definedName>
    <definedName name="잘" localSheetId="0">[108]간접!#REF!</definedName>
    <definedName name="잘">[108]간접!#REF!</definedName>
    <definedName name="잠항공" localSheetId="0">'[57]4 노임단가'!#REF!</definedName>
    <definedName name="잠항공">'[57]4 노임단가'!#REF!</definedName>
    <definedName name="잡유" localSheetId="0">[4]일위대가표!#REF!</definedName>
    <definedName name="잡유">[4]일위대가표!#REF!</definedName>
    <definedName name="장비" localSheetId="0">#REF!</definedName>
    <definedName name="장비">#REF!</definedName>
    <definedName name="장비가격" localSheetId="0">'[109]2.1  노무비 평균단가산출'!#REF!</definedName>
    <definedName name="장비가격">'[109]2.1  노무비 평균단가산출'!#REF!</definedName>
    <definedName name="장비부표" localSheetId="0">#REF!</definedName>
    <definedName name="장비부표">#REF!</definedName>
    <definedName name="재1" localSheetId="0">#REF!</definedName>
    <definedName name="재1">#REF!</definedName>
    <definedName name="재10" localSheetId="0">#REF!</definedName>
    <definedName name="재10">#REF!</definedName>
    <definedName name="재100" localSheetId="0">#REF!</definedName>
    <definedName name="재100">#REF!</definedName>
    <definedName name="재101" localSheetId="0">#REF!</definedName>
    <definedName name="재101">#REF!</definedName>
    <definedName name="재102" localSheetId="0">#REF!</definedName>
    <definedName name="재102">#REF!</definedName>
    <definedName name="재103" localSheetId="0">#REF!</definedName>
    <definedName name="재103">#REF!</definedName>
    <definedName name="재108" localSheetId="0">#REF!</definedName>
    <definedName name="재108">#REF!</definedName>
    <definedName name="재11" localSheetId="0">#REF!</definedName>
    <definedName name="재11">#REF!</definedName>
    <definedName name="재110" localSheetId="0">#REF!</definedName>
    <definedName name="재110">#REF!</definedName>
    <definedName name="재111" localSheetId="0">#REF!</definedName>
    <definedName name="재111">#REF!</definedName>
    <definedName name="재112" localSheetId="0">#REF!</definedName>
    <definedName name="재112">#REF!</definedName>
    <definedName name="재12" localSheetId="0">#REF!</definedName>
    <definedName name="재12">#REF!</definedName>
    <definedName name="재124" localSheetId="0">#REF!</definedName>
    <definedName name="재124">#REF!</definedName>
    <definedName name="재125" localSheetId="0">#REF!</definedName>
    <definedName name="재125">#REF!</definedName>
    <definedName name="재126" localSheetId="0">#REF!</definedName>
    <definedName name="재126">#REF!</definedName>
    <definedName name="재127" localSheetId="0">#REF!</definedName>
    <definedName name="재127">#REF!</definedName>
    <definedName name="재128" localSheetId="0">#REF!</definedName>
    <definedName name="재128">#REF!</definedName>
    <definedName name="재129" localSheetId="0">#REF!</definedName>
    <definedName name="재129">#REF!</definedName>
    <definedName name="재13" localSheetId="0">#REF!</definedName>
    <definedName name="재13">#REF!</definedName>
    <definedName name="재130" localSheetId="0">#REF!</definedName>
    <definedName name="재130">#REF!</definedName>
    <definedName name="재131" localSheetId="0">#REF!</definedName>
    <definedName name="재131">#REF!</definedName>
    <definedName name="재132" localSheetId="0">#REF!</definedName>
    <definedName name="재132">#REF!</definedName>
    <definedName name="재133" localSheetId="0">#REF!+#REF!</definedName>
    <definedName name="재133">#REF!+#REF!</definedName>
    <definedName name="재134" localSheetId="0">#REF!</definedName>
    <definedName name="재134">#REF!</definedName>
    <definedName name="재135" localSheetId="0">#REF!</definedName>
    <definedName name="재135">#REF!</definedName>
    <definedName name="재136" localSheetId="0">#REF!</definedName>
    <definedName name="재136">#REF!</definedName>
    <definedName name="재137" localSheetId="0">#REF!</definedName>
    <definedName name="재137">#REF!</definedName>
    <definedName name="재138" localSheetId="0">#REF!</definedName>
    <definedName name="재138">#REF!</definedName>
    <definedName name="재139" localSheetId="0">#REF!</definedName>
    <definedName name="재139">#REF!</definedName>
    <definedName name="재14" localSheetId="0">#REF!</definedName>
    <definedName name="재14">#REF!</definedName>
    <definedName name="재140" localSheetId="0">#REF!</definedName>
    <definedName name="재140">#REF!</definedName>
    <definedName name="재15" localSheetId="0">#REF!</definedName>
    <definedName name="재15">#REF!</definedName>
    <definedName name="재16" localSheetId="0">#REF!</definedName>
    <definedName name="재16">#REF!</definedName>
    <definedName name="재17" localSheetId="0">#REF!</definedName>
    <definedName name="재17">#REF!</definedName>
    <definedName name="재18" localSheetId="0">#REF!</definedName>
    <definedName name="재18">#REF!</definedName>
    <definedName name="재19" localSheetId="0">#REF!</definedName>
    <definedName name="재19">#REF!</definedName>
    <definedName name="재2" localSheetId="0">#REF!</definedName>
    <definedName name="재2">#REF!</definedName>
    <definedName name="재20" localSheetId="0">#REF!</definedName>
    <definedName name="재20">#REF!</definedName>
    <definedName name="재22" localSheetId="0">#REF!</definedName>
    <definedName name="재22">#REF!</definedName>
    <definedName name="재23" localSheetId="0">#REF!</definedName>
    <definedName name="재23">#REF!</definedName>
    <definedName name="재24" localSheetId="0">#REF!</definedName>
    <definedName name="재24">#REF!</definedName>
    <definedName name="재25" localSheetId="0">#REF!</definedName>
    <definedName name="재25">#REF!</definedName>
    <definedName name="재26" localSheetId="0">#REF!</definedName>
    <definedName name="재26">#REF!</definedName>
    <definedName name="재27" localSheetId="0">#REF!</definedName>
    <definedName name="재27">#REF!</definedName>
    <definedName name="재28" localSheetId="0">#REF!</definedName>
    <definedName name="재28">#REF!</definedName>
    <definedName name="재29" localSheetId="0">#REF!</definedName>
    <definedName name="재29">#REF!</definedName>
    <definedName name="재3" localSheetId="0">#REF!</definedName>
    <definedName name="재3">#REF!</definedName>
    <definedName name="재30" localSheetId="0">#REF!</definedName>
    <definedName name="재30">#REF!</definedName>
    <definedName name="재31" localSheetId="0">#REF!</definedName>
    <definedName name="재31">#REF!</definedName>
    <definedName name="재32" localSheetId="0">#REF!</definedName>
    <definedName name="재32">#REF!</definedName>
    <definedName name="재33" localSheetId="0">#REF!</definedName>
    <definedName name="재33">#REF!</definedName>
    <definedName name="재34" localSheetId="0">#REF!</definedName>
    <definedName name="재34">#REF!</definedName>
    <definedName name="재35" localSheetId="0">#REF!</definedName>
    <definedName name="재35">#REF!</definedName>
    <definedName name="재36" localSheetId="0">#REF!</definedName>
    <definedName name="재36">#REF!</definedName>
    <definedName name="재37" localSheetId="0">#REF!</definedName>
    <definedName name="재37">#REF!</definedName>
    <definedName name="재38" localSheetId="0">#REF!</definedName>
    <definedName name="재38">#REF!</definedName>
    <definedName name="재39" localSheetId="0">#REF!</definedName>
    <definedName name="재39">#REF!</definedName>
    <definedName name="재4" localSheetId="0">#REF!</definedName>
    <definedName name="재4">#REF!</definedName>
    <definedName name="재40" localSheetId="0">#REF!</definedName>
    <definedName name="재40">#REF!</definedName>
    <definedName name="재41" localSheetId="0">#REF!</definedName>
    <definedName name="재41">#REF!</definedName>
    <definedName name="재42" localSheetId="0">#REF!</definedName>
    <definedName name="재42">#REF!</definedName>
    <definedName name="재43" localSheetId="0">#REF!</definedName>
    <definedName name="재43">#REF!</definedName>
    <definedName name="재44" localSheetId="0">#REF!</definedName>
    <definedName name="재44">#REF!</definedName>
    <definedName name="재45" localSheetId="0">#REF!</definedName>
    <definedName name="재45">#REF!</definedName>
    <definedName name="재47" localSheetId="0">#REF!</definedName>
    <definedName name="재47">#REF!</definedName>
    <definedName name="재48" localSheetId="0">#REF!</definedName>
    <definedName name="재48">#REF!</definedName>
    <definedName name="재49" localSheetId="0">#REF!</definedName>
    <definedName name="재49">#REF!</definedName>
    <definedName name="재5" localSheetId="0">#REF!</definedName>
    <definedName name="재5">#REF!</definedName>
    <definedName name="재50" localSheetId="0">#REF!</definedName>
    <definedName name="재50">#REF!</definedName>
    <definedName name="재51" localSheetId="0">#REF!</definedName>
    <definedName name="재51">#REF!</definedName>
    <definedName name="재52" localSheetId="0">#REF!</definedName>
    <definedName name="재52">#REF!</definedName>
    <definedName name="재53" localSheetId="0">#REF!</definedName>
    <definedName name="재53">#REF!</definedName>
    <definedName name="재54" localSheetId="0">#REF!</definedName>
    <definedName name="재54">#REF!</definedName>
    <definedName name="재55" localSheetId="0">#REF!</definedName>
    <definedName name="재55">#REF!</definedName>
    <definedName name="재56" localSheetId="0">#REF!</definedName>
    <definedName name="재56">#REF!</definedName>
    <definedName name="재57" localSheetId="0">#REF!</definedName>
    <definedName name="재57">#REF!</definedName>
    <definedName name="재58" localSheetId="0">#REF!</definedName>
    <definedName name="재58">#REF!</definedName>
    <definedName name="재6" localSheetId="0">#REF!</definedName>
    <definedName name="재6">#REF!</definedName>
    <definedName name="재60" localSheetId="0">#REF!</definedName>
    <definedName name="재60">#REF!</definedName>
    <definedName name="재61" localSheetId="0">#REF!</definedName>
    <definedName name="재61">#REF!</definedName>
    <definedName name="재62" localSheetId="0">#REF!</definedName>
    <definedName name="재62">#REF!</definedName>
    <definedName name="재63" localSheetId="0">#REF!</definedName>
    <definedName name="재63">#REF!</definedName>
    <definedName name="재64" localSheetId="0">#REF!</definedName>
    <definedName name="재64">#REF!</definedName>
    <definedName name="재65" localSheetId="0">#REF!</definedName>
    <definedName name="재65">#REF!</definedName>
    <definedName name="재66" localSheetId="0">#REF!</definedName>
    <definedName name="재66">#REF!</definedName>
    <definedName name="재67" localSheetId="0">#REF!</definedName>
    <definedName name="재67">#REF!</definedName>
    <definedName name="재68" localSheetId="0">#REF!</definedName>
    <definedName name="재68">#REF!</definedName>
    <definedName name="재69" localSheetId="0">#REF!</definedName>
    <definedName name="재69">#REF!</definedName>
    <definedName name="재7" localSheetId="0">#REF!</definedName>
    <definedName name="재7">#REF!</definedName>
    <definedName name="재70" localSheetId="0">#REF!</definedName>
    <definedName name="재70">#REF!</definedName>
    <definedName name="재71" localSheetId="0">#REF!</definedName>
    <definedName name="재71">#REF!</definedName>
    <definedName name="재72" localSheetId="0">#REF!</definedName>
    <definedName name="재72">#REF!</definedName>
    <definedName name="재73" localSheetId="0">#REF!</definedName>
    <definedName name="재73">#REF!</definedName>
    <definedName name="재74" localSheetId="0">#REF!</definedName>
    <definedName name="재74">#REF!</definedName>
    <definedName name="재75" localSheetId="0">#REF!</definedName>
    <definedName name="재75">#REF!</definedName>
    <definedName name="재76" localSheetId="0">#REF!</definedName>
    <definedName name="재76">#REF!</definedName>
    <definedName name="재77" localSheetId="0">#REF!</definedName>
    <definedName name="재77">#REF!</definedName>
    <definedName name="재78" localSheetId="0">#REF!</definedName>
    <definedName name="재78">#REF!</definedName>
    <definedName name="재79" localSheetId="0">#REF!</definedName>
    <definedName name="재79">#REF!</definedName>
    <definedName name="재8" localSheetId="0">#REF!</definedName>
    <definedName name="재8">#REF!</definedName>
    <definedName name="재80" localSheetId="0">#REF!</definedName>
    <definedName name="재80">#REF!</definedName>
    <definedName name="재81" localSheetId="0">#REF!</definedName>
    <definedName name="재81">#REF!</definedName>
    <definedName name="재82" localSheetId="0">#REF!</definedName>
    <definedName name="재82">#REF!</definedName>
    <definedName name="재83" localSheetId="0">#REF!</definedName>
    <definedName name="재83">#REF!</definedName>
    <definedName name="재84" localSheetId="0">#REF!</definedName>
    <definedName name="재84">#REF!</definedName>
    <definedName name="재85" localSheetId="0">#REF!</definedName>
    <definedName name="재85">#REF!</definedName>
    <definedName name="재86" localSheetId="0">#REF!</definedName>
    <definedName name="재86">#REF!</definedName>
    <definedName name="재87" localSheetId="0">#REF!</definedName>
    <definedName name="재87">#REF!</definedName>
    <definedName name="재88" localSheetId="0">#REF!</definedName>
    <definedName name="재88">#REF!</definedName>
    <definedName name="재89" localSheetId="0">#REF!</definedName>
    <definedName name="재89">#REF!</definedName>
    <definedName name="재9" localSheetId="0">#REF!</definedName>
    <definedName name="재9">#REF!</definedName>
    <definedName name="재90" localSheetId="0">#REF!</definedName>
    <definedName name="재90">#REF!</definedName>
    <definedName name="재91" localSheetId="0">#REF!</definedName>
    <definedName name="재91">#REF!</definedName>
    <definedName name="재92" localSheetId="0">#REF!</definedName>
    <definedName name="재92">#REF!</definedName>
    <definedName name="재93" localSheetId="0">#REF!</definedName>
    <definedName name="재93">#REF!</definedName>
    <definedName name="재94" localSheetId="0">#REF!</definedName>
    <definedName name="재94">#REF!</definedName>
    <definedName name="재95" localSheetId="0">#REF!</definedName>
    <definedName name="재95">#REF!</definedName>
    <definedName name="재96" localSheetId="0">#REF!</definedName>
    <definedName name="재96">#REF!</definedName>
    <definedName name="재97" localSheetId="0">#REF!</definedName>
    <definedName name="재97">#REF!</definedName>
    <definedName name="재98" localSheetId="0">#REF!</definedName>
    <definedName name="재98">#REF!</definedName>
    <definedName name="재99" localSheetId="0">#REF!</definedName>
    <definedName name="재99">#REF!</definedName>
    <definedName name="재고량">'[62]판매계획(재고)'!$A$77:$P$79</definedName>
    <definedName name="재료비" localSheetId="0">#REF!</definedName>
    <definedName name="재료비">#REF!</definedName>
    <definedName name="재무" localSheetId="0" hidden="1">[16]현금흐름표!#REF!</definedName>
    <definedName name="재무" hidden="1">[16]현금흐름표!#REF!</definedName>
    <definedName name="재질">[66]계획서!$L$29:$L$37</definedName>
    <definedName name="저압길이">[66]계획서!$O$29:$O$37</definedName>
    <definedName name="저압노출밸브">[66]계획서!$S$29:$S$37</definedName>
    <definedName name="저압매몰밸브">[66]계획서!$T$29:$T$37</definedName>
    <definedName name="저압연결">[77]인상계획!$D$24</definedName>
    <definedName name="저압이설">[77]인상계획!$D$27</definedName>
    <definedName name="저압케이블공" localSheetId="0">[4]일위대가표!#REF!</definedName>
    <definedName name="저압케이블공">[4]일위대가표!#REF!</definedName>
    <definedName name="저압케이블공노" localSheetId="0">[23]Sheet6!#REF!</definedName>
    <definedName name="저압케이블공노">[23]Sheet6!#REF!</definedName>
    <definedName name="전_공" localSheetId="0">#REF!</definedName>
    <definedName name="전_공">#REF!</definedName>
    <definedName name="전기노임" localSheetId="0">#REF!</definedName>
    <definedName name="전기노임">#REF!</definedName>
    <definedName name="전기손료" localSheetId="0">#REF!</definedName>
    <definedName name="전기손료">#REF!</definedName>
    <definedName name="전기시간쓰기" localSheetId="0">#REF!</definedName>
    <definedName name="전기시간쓰기">#REF!</definedName>
    <definedName name="전기요금_주택고압" localSheetId="0">#REF!</definedName>
    <definedName name="전기요금_주택고압">#REF!</definedName>
    <definedName name="전기요금_주택저압" localSheetId="0">#REF!</definedName>
    <definedName name="전기요금_주택저압">#REF!</definedName>
    <definedName name="전기월별쓰기" localSheetId="0">#REF!</definedName>
    <definedName name="전기월별쓰기">#REF!</definedName>
    <definedName name="전기일별쓰기" localSheetId="0">#REF!</definedName>
    <definedName name="전기일별쓰기">#REF!</definedName>
    <definedName name="전기자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전기재료관" localSheetId="0">#REF!</definedName>
    <definedName name="전기재료관">#REF!</definedName>
    <definedName name="전기할증" localSheetId="0">#REF!</definedName>
    <definedName name="전기할증">#REF!</definedName>
    <definedName name="전선관" localSheetId="0">#REF!</definedName>
    <definedName name="전선관">#REF!</definedName>
    <definedName name="전용선임대료계산방법" localSheetId="0">#REF!</definedName>
    <definedName name="전용선임대료계산방법">#REF!</definedName>
    <definedName name="전용선임차여부" localSheetId="0">#REF!</definedName>
    <definedName name="전용선임차여부">#REF!</definedName>
    <definedName name="전주" localSheetId="0">[4]일위대가표!#REF!</definedName>
    <definedName name="전주">[4]일위대가표!#REF!</definedName>
    <definedName name="절단폭" localSheetId="0">#REF!</definedName>
    <definedName name="절단폭">#REF!</definedName>
    <definedName name="정" localSheetId="0">#REF!</definedName>
    <definedName name="정">#REF!</definedName>
    <definedName name="정간접노무비" localSheetId="0">#REF!</definedName>
    <definedName name="정간접노무비">#REF!</definedName>
    <definedName name="정노무비" localSheetId="0">#REF!</definedName>
    <definedName name="정노무비">#REF!</definedName>
    <definedName name="정도급경비" localSheetId="0">#REF!</definedName>
    <definedName name="정도급경비">#REF!</definedName>
    <definedName name="정도급비" localSheetId="0">#REF!</definedName>
    <definedName name="정도급비">#REF!</definedName>
    <definedName name="정도장노임" localSheetId="0">#REF!</definedName>
    <definedName name="정도장노임">#REF!</definedName>
    <definedName name="정류기" localSheetId="0">[110]sheet1!#REF!</definedName>
    <definedName name="정류기">[110]sheet1!#REF!</definedName>
    <definedName name="정류기1" localSheetId="0">[4]일위대가표!#REF!</definedName>
    <definedName name="정류기1">[4]일위대가표!#REF!</definedName>
    <definedName name="정류기2" localSheetId="0">[4]일위대가표!#REF!</definedName>
    <definedName name="정류기2">[4]일위대가표!#REF!</definedName>
    <definedName name="정류기3" localSheetId="0">[4]일위대가표!#REF!</definedName>
    <definedName name="정류기3">[4]일위대가표!#REF!</definedName>
    <definedName name="정류기4" localSheetId="0">[4]일위대가표!#REF!</definedName>
    <definedName name="정류기4">[4]일위대가표!#REF!</definedName>
    <definedName name="정류기재" localSheetId="0">[23]Sheet6!#REF!</definedName>
    <definedName name="정류기재">[23]Sheet6!#REF!</definedName>
    <definedName name="정비확정" hidden="1">'[12]#REF'!$A$206:$Q$214</definedName>
    <definedName name="정사급재료비" localSheetId="0">#REF!</definedName>
    <definedName name="정사급재료비">#REF!</definedName>
    <definedName name="정압기" localSheetId="0">'[52]5) 자가소모'!#REF!</definedName>
    <definedName name="정압기">'[52]5) 자가소모'!#REF!</definedName>
    <definedName name="정이윤" localSheetId="0">#REF!</definedName>
    <definedName name="정이윤">#REF!</definedName>
    <definedName name="정일반관리비" localSheetId="0">#REF!</definedName>
    <definedName name="정일반관리비">#REF!</definedName>
    <definedName name="정전기노임" localSheetId="0">#REF!</definedName>
    <definedName name="정전기노임">#REF!</definedName>
    <definedName name="정정" localSheetId="0">'[51]2000년1차'!#REF!</definedName>
    <definedName name="정정">'[51]2000년1차'!#REF!</definedName>
    <definedName name="정지입재료비" localSheetId="0">#REF!</definedName>
    <definedName name="정지입재료비">#REF!</definedName>
    <definedName name="정직접노무비" localSheetId="0">#REF!</definedName>
    <definedName name="정직접노무비">#REF!</definedName>
    <definedName name="정토공노임" localSheetId="0">#REF!</definedName>
    <definedName name="정토공노임">#REF!</definedName>
    <definedName name="정회사경비" localSheetId="0">#REF!</definedName>
    <definedName name="정회사경비">#REF!</definedName>
    <definedName name="제5호표" localSheetId="0">#REF!</definedName>
    <definedName name="제5호표">#REF!</definedName>
    <definedName name="제도사" localSheetId="0">'[57]4 노임단가'!#REF!</definedName>
    <definedName name="제도사">'[57]4 노임단가'!#REF!</definedName>
    <definedName name="제일안과병원" localSheetId="0">#REF!</definedName>
    <definedName name="제일안과병원">#REF!</definedName>
    <definedName name="제작소설치비" localSheetId="0">#REF!</definedName>
    <definedName name="제작소설치비">#REF!</definedName>
    <definedName name="조가선" localSheetId="0">[4]일위대가표!#REF!</definedName>
    <definedName name="조가선">[4]일위대가표!#REF!</definedName>
    <definedName name="조가선단가" localSheetId="0">#REF!</definedName>
    <definedName name="조가선단가">#REF!</definedName>
    <definedName name="조가선재" localSheetId="0">[23]Sheet6!#REF!</definedName>
    <definedName name="조가선재">[23]Sheet6!#REF!</definedName>
    <definedName name="조경공" localSheetId="0">#REF!</definedName>
    <definedName name="조경공">#REF!</definedName>
    <definedName name="조수" localSheetId="0">[4]일위대가표!#REF!</definedName>
    <definedName name="조수">[4]일위대가표!#REF!</definedName>
    <definedName name="조장" localSheetId="0">[4]일위대가표!#REF!</definedName>
    <definedName name="조장">[4]일위대가표!#REF!</definedName>
    <definedName name="조적공" localSheetId="0">#REF!</definedName>
    <definedName name="조적공">#REF!</definedName>
    <definedName name="종______류" localSheetId="0">[2]물가변동3!#REF!</definedName>
    <definedName name="종______류">[2]물가변동3!#REF!</definedName>
    <definedName name="주야구분" localSheetId="0">#REF!</definedName>
    <definedName name="주야구분">#REF!</definedName>
    <definedName name="주요자재대" localSheetId="0">#REF!</definedName>
    <definedName name="주요자재대">#REF!</definedName>
    <definedName name="준공일" localSheetId="0">#REF!</definedName>
    <definedName name="준공일">#REF!</definedName>
    <definedName name="중급기능사" localSheetId="0">[4]일위대가표!#REF!</definedName>
    <definedName name="중급기능사">[4]일위대가표!#REF!</definedName>
    <definedName name="중급기술자" localSheetId="0">[4]일위대가표!#REF!</definedName>
    <definedName name="중급기술자">[4]일위대가표!#REF!</definedName>
    <definedName name="중기운전기사" localSheetId="0">#REF!</definedName>
    <definedName name="중기운전기사">#REF!</definedName>
    <definedName name="중기운전사" localSheetId="0">[4]일위대가표!#REF!</definedName>
    <definedName name="중기운전사">[4]일위대가표!#REF!</definedName>
    <definedName name="중기운전조수" localSheetId="0">#REF!</definedName>
    <definedName name="중기운전조수">#REF!</definedName>
    <definedName name="중기조장" localSheetId="0">#REF!</definedName>
    <definedName name="중기조장">#REF!</definedName>
    <definedName name="중량" localSheetId="0">#REF!</definedName>
    <definedName name="중량">#REF!</definedName>
    <definedName name="중량표" localSheetId="0">#REF!</definedName>
    <definedName name="중량표">#REF!</definedName>
    <definedName name="중부" localSheetId="0">'[52]5) 자가소모'!#REF!</definedName>
    <definedName name="중부">'[52]5) 자가소모'!#REF!</definedName>
    <definedName name="중압길이">[66]계획서!$N$29:$N$37</definedName>
    <definedName name="중압노출밸브">[66]계획서!$Q$29:$Q$37</definedName>
    <definedName name="중압매몰밸브">[66]계획서!$R$29:$R$37</definedName>
    <definedName name="중압연결">[77]인상계획!$D$23</definedName>
    <definedName name="중압이설">[77]인상계획!$D$26</definedName>
    <definedName name="중앙지하">#N/A</definedName>
    <definedName name="증_감__B_A_" localSheetId="0">[2]물가변동3!#REF!</definedName>
    <definedName name="증_감__B_A_">[2]물가변동3!#REF!</definedName>
    <definedName name="지급이자율" localSheetId="0">#REF!</definedName>
    <definedName name="지급이자율">#REF!</definedName>
    <definedName name="지선" localSheetId="0">[4]일위대가표!#REF!</definedName>
    <definedName name="지선">[4]일위대가표!#REF!</definedName>
    <definedName name="지입재료비" localSheetId="0">#REF!</definedName>
    <definedName name="지입재료비">#REF!</definedName>
    <definedName name="지장물이설" localSheetId="0">#REF!</definedName>
    <definedName name="지장물이설">#REF!</definedName>
    <definedName name="지적기사_1급" localSheetId="0">#REF!</definedName>
    <definedName name="지적기사_1급">#REF!</definedName>
    <definedName name="지적기사_2급" localSheetId="0">#REF!</definedName>
    <definedName name="지적기사_2급">#REF!</definedName>
    <definedName name="지중자재" localSheetId="0">#REF!</definedName>
    <definedName name="지중자재">#REF!</definedName>
    <definedName name="직게" localSheetId="0">#REF!:#REF!</definedName>
    <definedName name="직게">#REF!:#REF!</definedName>
    <definedName name="직장" localSheetId="0">#REF!:#REF!</definedName>
    <definedName name="직장">#REF!:#REF!</definedName>
    <definedName name="직적">[111]부서별!$D$31:$O$327</definedName>
    <definedName name="직전일" localSheetId="0">'[112]공급자 ㅇ'!#REF!</definedName>
    <definedName name="직전일">'[112]공급자 ㅇ'!#REF!</definedName>
    <definedName name="직접경비">'[56]단가 (2)'!$K$5</definedName>
    <definedName name="직접노무비" localSheetId="0">#REF!</definedName>
    <definedName name="직접노무비">#REF!</definedName>
    <definedName name="집" localSheetId="0">#REF!</definedName>
    <definedName name="집">#REF!</definedName>
    <definedName name="집계" localSheetId="0">#REF!</definedName>
    <definedName name="집계">#REF!</definedName>
    <definedName name="차변" localSheetId="0">#REF!</definedName>
    <definedName name="차변">#REF!</definedName>
    <definedName name="차변a" localSheetId="0">#REF!</definedName>
    <definedName name="차변a">#REF!</definedName>
    <definedName name="차인증감" localSheetId="0">#REF!</definedName>
    <definedName name="차인증감">#REF!</definedName>
    <definedName name="착공일" localSheetId="0">#REF!</definedName>
    <definedName name="착공일">#REF!</definedName>
    <definedName name="착암공" localSheetId="0">#REF!</definedName>
    <definedName name="착암공">#REF!</definedName>
    <definedName name="착정" localSheetId="0">[4]일위대가표!#REF!</definedName>
    <definedName name="착정">[4]일위대가표!#REF!</definedName>
    <definedName name="착정기1" localSheetId="0">[4]일위대가표!#REF!</definedName>
    <definedName name="착정기1">[4]일위대가표!#REF!</definedName>
    <definedName name="착정기2" localSheetId="0">[4]일위대가표!#REF!</definedName>
    <definedName name="착정기2">[4]일위대가표!#REF!</definedName>
    <definedName name="착정기3" localSheetId="0">[4]일위대가표!#REF!</definedName>
    <definedName name="착정기3">[4]일위대가표!#REF!</definedName>
    <definedName name="참고자료" localSheetId="0">#REF!</definedName>
    <definedName name="참고자료">#REF!</definedName>
    <definedName name="철" localSheetId="0">BlankMacro1</definedName>
    <definedName name="철">BlankMacro1</definedName>
    <definedName name="철____공" localSheetId="0">#REF!</definedName>
    <definedName name="철____공">#REF!</definedName>
    <definedName name="철_골_공" localSheetId="0">#REF!</definedName>
    <definedName name="철_골_공">#REF!</definedName>
    <definedName name="철공" localSheetId="0">#REF!</definedName>
    <definedName name="철공">#REF!</definedName>
    <definedName name="철공공">'[67]4 노임단가'!$E$7</definedName>
    <definedName name="철근공" localSheetId="0">#REF!</definedName>
    <definedName name="철근공">#REF!</definedName>
    <definedName name="철물갑지" localSheetId="0">Dlog_Show</definedName>
    <definedName name="철물갑지">Dlog_Show</definedName>
    <definedName name="철콘" localSheetId="0">#REF!</definedName>
    <definedName name="철콘">#REF!</definedName>
    <definedName name="청천200" localSheetId="0">'[113]200'!#REF!</definedName>
    <definedName name="청천200">'[113]200'!#REF!</definedName>
    <definedName name="초급기술자" localSheetId="0">[4]일위대가표!#REF!</definedName>
    <definedName name="초급기술자">[4]일위대가표!#REF!</definedName>
    <definedName name="초임금비교" hidden="1">{#N/A,#N/A,FALSE,"계약직(여)"}</definedName>
    <definedName name="초임급" hidden="1">{#N/A,#N/A,FALSE,"계약직(여)"}</definedName>
    <definedName name="총공사비" localSheetId="0">#REF!</definedName>
    <definedName name="총공사비">#REF!</definedName>
    <definedName name="총괄" localSheetId="0">#REF!</definedName>
    <definedName name="총괄">#REF!</definedName>
    <definedName name="총액">'[89]내역(창신)'!$H$12</definedName>
    <definedName name="최준구" localSheetId="0">#REF!</definedName>
    <definedName name="최준구">#REF!</definedName>
    <definedName name="추__정__가__격" localSheetId="0">#REF!</definedName>
    <definedName name="추__정__가__격">#REF!</definedName>
    <definedName name="추정가격" localSheetId="0">#REF!</definedName>
    <definedName name="추정가격">#REF!</definedName>
    <definedName name="축대하상길이" localSheetId="0">#REF!</definedName>
    <definedName name="축대하상길이">#REF!</definedName>
    <definedName name="충당금" localSheetId="0">#REF!</definedName>
    <definedName name="충당금">#REF!</definedName>
    <definedName name="취소액" localSheetId="0">#REF!</definedName>
    <definedName name="취소액">#REF!</definedName>
    <definedName name="ㅋㅋ" localSheetId="0">BlankMacro1</definedName>
    <definedName name="ㅋㅋ">BlankMacro1</definedName>
    <definedName name="케이블" localSheetId="0">#REF!</definedName>
    <definedName name="케이블">#REF!</definedName>
    <definedName name="케이블공" localSheetId="0">[4]일위대가표!#REF!</definedName>
    <definedName name="케이블공">[4]일위대가표!#REF!</definedName>
    <definedName name="케이블공노" localSheetId="0">[23]Sheet6!#REF!</definedName>
    <definedName name="케이블공노">[23]Sheet6!#REF!</definedName>
    <definedName name="콘크리트">'[67]4 노임단가'!$E$24</definedName>
    <definedName name="콘크리트공" localSheetId="0">#REF!</definedName>
    <definedName name="콘크리트공">#REF!</definedName>
    <definedName name="콘크리트공_광의" localSheetId="0">'[57]4 노임단가'!#REF!</definedName>
    <definedName name="콘크리트공_광의">'[57]4 노임단가'!#REF!</definedName>
    <definedName name="콘크리트몰타르" localSheetId="0">[4]일위대가표!#REF!</definedName>
    <definedName name="콘크리트몰타르">[4]일위대가표!#REF!</definedName>
    <definedName name="콜론" localSheetId="0">#REF!</definedName>
    <definedName name="콜론">#REF!</definedName>
    <definedName name="콤프" localSheetId="0">[4]일위대가표!#REF!</definedName>
    <definedName name="콤프">[4]일위대가표!#REF!</definedName>
    <definedName name="타매" localSheetId="0">#REF!</definedName>
    <definedName name="타매">#REF!</definedName>
    <definedName name="타세" localSheetId="0">#REF!</definedName>
    <definedName name="타세">#REF!</definedName>
    <definedName name="타원" localSheetId="0">#REF!</definedName>
    <definedName name="타원">#REF!</definedName>
    <definedName name="터널계측" localSheetId="0">#REF!</definedName>
    <definedName name="터널계측">#REF!</definedName>
    <definedName name="터널공">'[89]내역(중앙)'!$H$49</definedName>
    <definedName name="템플리트모듈1" localSheetId="0">[114]!sheetbutton</definedName>
    <definedName name="템플리트모듈1">[114]!sheetbutton</definedName>
    <definedName name="템플리트모듈2" localSheetId="0">[114]!sheetbutton1</definedName>
    <definedName name="템플리트모듈2">[114]!sheetbutton1</definedName>
    <definedName name="템플리트모듈3" localSheetId="0">[114]!SignDLG</definedName>
    <definedName name="템플리트모듈3">[114]!SignDLG</definedName>
    <definedName name="템플리트모듈4" localSheetId="0">[114]!insertLt</definedName>
    <definedName name="템플리트모듈4">[114]!insertLt</definedName>
    <definedName name="템플리트모듈5" localSheetId="0">[114]!InsertLogo</definedName>
    <definedName name="템플리트모듈5">[114]!InsertLogo</definedName>
    <definedName name="템플리트모듈6" localSheetId="0">Dlog_Show</definedName>
    <definedName name="템플리트모듈6">Dlog_Show</definedName>
    <definedName name="토" localSheetId="0">#REF!</definedName>
    <definedName name="토">#REF!</definedName>
    <definedName name="토공노임" localSheetId="0">#REF!</definedName>
    <definedName name="토공노임">#REF!</definedName>
    <definedName name="토목설계" hidden="1">{#N/A,#N/A,FALSE,"골재소요량";#N/A,#N/A,FALSE,"골재소요량"}</definedName>
    <definedName name="통내">'[67]4 노임단가'!$E$68</definedName>
    <definedName name="통신" localSheetId="0">BlankMacro1</definedName>
    <definedName name="통신">BlankMacro1</definedName>
    <definedName name="통신1급">'[67]4 노임단가'!$E$102</definedName>
    <definedName name="통신기사1급" localSheetId="0">#REF!</definedName>
    <definedName name="통신기사1급">#REF!</definedName>
    <definedName name="통신기사2급" localSheetId="0">#REF!</definedName>
    <definedName name="통신기사2급">#REF!</definedName>
    <definedName name="통신설비">'[67]4 노임단가'!$E$67</definedName>
    <definedName name="통신설비공" localSheetId="0">#REF!</definedName>
    <definedName name="통신설비공">#REF!</definedName>
    <definedName name="통신외선">'[67]4 노임단가'!$E$66</definedName>
    <definedName name="통신집계" localSheetId="0">BlankMacro1</definedName>
    <definedName name="통신집계">BlankMacro1</definedName>
    <definedName name="통케">'[67]4 노임단가'!$E$69</definedName>
    <definedName name="통행료" localSheetId="0">#REF!</definedName>
    <definedName name="통행료">#REF!</definedName>
    <definedName name="퇴직" localSheetId="0">[39]퇴충기초!#REF!</definedName>
    <definedName name="퇴직">[39]퇴충기초!#REF!</definedName>
    <definedName name="퇴직금" localSheetId="0">#REF!</definedName>
    <definedName name="퇴직금">#REF!</definedName>
    <definedName name="특고케">'[67]4 노임단가'!$E$61</definedName>
    <definedName name="특고케이블공" localSheetId="0">#REF!</definedName>
    <definedName name="특고케이블공">#REF!</definedName>
    <definedName name="특별">'[67]4 노임단가'!$E$74</definedName>
    <definedName name="특별인부" localSheetId="0">#REF!</definedName>
    <definedName name="특별인부">#REF!</definedName>
    <definedName name="특케" localSheetId="0">#REF!</definedName>
    <definedName name="특케">#REF!</definedName>
    <definedName name="ㅍ186">[96]주택용전기요금!$J$189</definedName>
    <definedName name="ㅍㅇㅊ" localSheetId="0">'[11]#REF'!#REF!</definedName>
    <definedName name="ㅍㅇㅊ">'[11]#REF'!#REF!</definedName>
    <definedName name="판넬자재" localSheetId="0">#REF!</definedName>
    <definedName name="판넬자재">#REF!</definedName>
    <definedName name="팔" localSheetId="0">[69]리스트!#REF!</definedName>
    <definedName name="팔">[69]리스트!#REF!</definedName>
    <definedName name="퍼지" localSheetId="0">'[52]5) 자가소모'!#REF!</definedName>
    <definedName name="퍼지">'[52]5) 자가소모'!#REF!</definedName>
    <definedName name="퍼지밸브">[66]계획서!$U$29:$U$37</definedName>
    <definedName name="평점출력영역" localSheetId="0">#REF!</definedName>
    <definedName name="평점출력영역">#REF!</definedName>
    <definedName name="폐기" localSheetId="0">#REF!</definedName>
    <definedName name="폐기">#REF!</definedName>
    <definedName name="포장공" localSheetId="0">#REF!</definedName>
    <definedName name="포장공">#REF!</definedName>
    <definedName name="포장부두께" localSheetId="0">#REF!</definedName>
    <definedName name="포장부두께">#REF!</definedName>
    <definedName name="포장종류" localSheetId="0">#REF!</definedName>
    <definedName name="포장종류">#REF!</definedName>
    <definedName name="표준공종" localSheetId="0">#REF!</definedName>
    <definedName name="표준공종">#REF!</definedName>
    <definedName name="풃S" localSheetId="0">#REF!</definedName>
    <definedName name="풃S">#REF!</definedName>
    <definedName name="풃Sa" localSheetId="0">#REF!</definedName>
    <definedName name="풃Sa">#REF!</definedName>
    <definedName name="품셈단가표" localSheetId="0">#REF!</definedName>
    <definedName name="품셈단가표">#REF!</definedName>
    <definedName name="프랜트" localSheetId="0">#REF!</definedName>
    <definedName name="프랜트">#REF!</definedName>
    <definedName name="프랜트전공" localSheetId="0">#REF!</definedName>
    <definedName name="프랜트전공">#REF!</definedName>
    <definedName name="프로그램.메인_메뉴호출" localSheetId="0">[79]!프로그램.메인_메뉴호출</definedName>
    <definedName name="프로그램.메인_메뉴호출">[79]!프로그램.메인_메뉴호출</definedName>
    <definedName name="플랜트기계설치공" localSheetId="0">#REF!</definedName>
    <definedName name="플랜트기계설치공">#REF!</definedName>
    <definedName name="플랜트노" localSheetId="0">[23]Sheet6!#REF!</definedName>
    <definedName name="플랜트노">[23]Sheet6!#REF!</definedName>
    <definedName name="플랜트배관공" localSheetId="0">#REF!</definedName>
    <definedName name="플랜트배관공">#REF!</definedName>
    <definedName name="플랜트용접공" localSheetId="0">#REF!</definedName>
    <definedName name="플랜트용접공">#REF!</definedName>
    <definedName name="플랜트전공" localSheetId="0">#REF!</definedName>
    <definedName name="플랜트전공">#REF!</definedName>
    <definedName name="플랜트제관공" localSheetId="0">#REF!</definedName>
    <definedName name="플랜트제관공">#REF!</definedName>
    <definedName name="플랜트특수용접공" localSheetId="0">#REF!</definedName>
    <definedName name="플랜트특수용접공">#REF!</definedName>
    <definedName name="ㅎ" localSheetId="0">#REF!</definedName>
    <definedName name="ㅎ">#REF!</definedName>
    <definedName name="ㅎㅎ43" localSheetId="0">#REF!</definedName>
    <definedName name="ㅎㅎ43">#REF!</definedName>
    <definedName name="하도급사항">'[115]설 계'!$A$2:$F$617</definedName>
    <definedName name="하도사항">[116]설계!$B$2:$P$289</definedName>
    <definedName name="하핳">'[85]남양시작동010313100%'!$A$2:$G$882</definedName>
    <definedName name="한전수탁비">'[56]단가 (2)'!$H$17</definedName>
    <definedName name="할석공" localSheetId="0">#REF!</definedName>
    <definedName name="할석공">#REF!</definedName>
    <definedName name="할증" localSheetId="0">#REF!</definedName>
    <definedName name="할증">#REF!</definedName>
    <definedName name="할증노무비" localSheetId="0">#REF!</definedName>
    <definedName name="할증노무비">#REF!</definedName>
    <definedName name="할증노임" localSheetId="0">#REF!</definedName>
    <definedName name="할증노임">#REF!</definedName>
    <definedName name="할증분" localSheetId="0">#REF!</definedName>
    <definedName name="할증분">#REF!</definedName>
    <definedName name="할증율">[117]Sheet1!$B$1</definedName>
    <definedName name="할증전기" localSheetId="0">#REF!</definedName>
    <definedName name="할증전기">#REF!</definedName>
    <definedName name="함석공" localSheetId="0">#REF!</definedName>
    <definedName name="함석공">#REF!</definedName>
    <definedName name="합계" localSheetId="0">#REF!</definedName>
    <definedName name="합계">#REF!</definedName>
    <definedName name="합계길이" localSheetId="0">#REF!</definedName>
    <definedName name="합계길이">#REF!</definedName>
    <definedName name="햄머" localSheetId="0">[4]일위대가표!#REF!</definedName>
    <definedName name="햄머">[4]일위대가표!#REF!</definedName>
    <definedName name="행삭제" localSheetId="0">#REF!</definedName>
    <definedName name="행삭제">#REF!</definedName>
    <definedName name="현도사" localSheetId="0">#REF!</definedName>
    <definedName name="현도사">#REF!</definedName>
    <definedName name="현장경비" localSheetId="0">#REF!:#REF!</definedName>
    <definedName name="현장경비">#REF!:#REF!</definedName>
    <definedName name="현재" localSheetId="0">#REF!</definedName>
    <definedName name="현재">#REF!</definedName>
    <definedName name="현천기자재비" localSheetId="0">#REF!</definedName>
    <definedName name="현천기자재비">#REF!</definedName>
    <definedName name="형틀목공" localSheetId="0">#REF!</definedName>
    <definedName name="형틀목공">#REF!</definedName>
    <definedName name="호" localSheetId="0">#REF!</definedName>
    <definedName name="호">#REF!</definedName>
    <definedName name="호출" localSheetId="0">#REF!:#REF!</definedName>
    <definedName name="호출">#REF!:#REF!</definedName>
    <definedName name="홍시">[118]내역!$A$7:$R$1247</definedName>
    <definedName name="환율">550</definedName>
    <definedName name="회계팀_수정분" localSheetId="0" hidden="1">[12]Sheet2!#REF!</definedName>
    <definedName name="회계팀_수정분" hidden="1">[12]Sheet2!#REF!</definedName>
    <definedName name="회사경비" localSheetId="0">#REF!</definedName>
    <definedName name="회사경비">#REF!</definedName>
    <definedName name="회사계상" localSheetId="0">#REF!</definedName>
    <definedName name="회사계상">#REF!</definedName>
    <definedName name="회사분" localSheetId="0">#REF!</definedName>
    <definedName name="회사분">#REF!</definedName>
    <definedName name="회사운반비" localSheetId="0">#REF!</definedName>
    <definedName name="회사운반비">#REF!</definedName>
    <definedName name="회사취급비" localSheetId="0">#REF!</definedName>
    <definedName name="회사취급비">#REF!</definedName>
    <definedName name="회차">32</definedName>
    <definedName name="휴대" localSheetId="0">#REF!:#REF!</definedName>
    <definedName name="휴대">#REF!:#REF!</definedName>
    <definedName name="휴식각">0.1</definedName>
    <definedName name="ㅑ" localSheetId="0">#REF!</definedName>
    <definedName name="ㅑ">#REF!</definedName>
    <definedName name="ㅓㅗㅓㅗㅓㅗ" hidden="1">'[16]CF_Current_Detail(July)'!$F$45</definedName>
    <definedName name="ㅗㅗ하ㅗ하ㅓㅏㅓ" localSheetId="0">'[52]5) 자가소모'!#REF!</definedName>
    <definedName name="ㅗㅗ하ㅗ하ㅓㅏㅓ">'[52]5) 자가소모'!#REF!</definedName>
    <definedName name="ㅜㅜ" localSheetId="0">BlankMacro1</definedName>
    <definedName name="ㅜㅜ">BlankMacro1</definedName>
    <definedName name="ㅠㄴ75" localSheetId="0">#REF!</definedName>
    <definedName name="ㅠㄴ75">#REF!</definedName>
    <definedName name="ㅡㄹ" localSheetId="0">[119]Condition!#REF!</definedName>
    <definedName name="ㅡㄹ">[119]Condition!#REF!</definedName>
    <definedName name="ㅣㄷㄷ" hidden="1">{#N/A,#N/A,FALSE,"단가표지"}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2" i="1" l="1"/>
  <c r="L53" i="1" s="1"/>
  <c r="K52" i="1"/>
  <c r="K53" i="1" s="1"/>
  <c r="J52" i="1"/>
  <c r="J53" i="1" s="1"/>
  <c r="I52" i="1"/>
  <c r="I53" i="1" s="1"/>
  <c r="H52" i="1"/>
  <c r="H53" i="1" s="1"/>
  <c r="G52" i="1"/>
  <c r="G53" i="1" s="1"/>
  <c r="F52" i="1"/>
  <c r="F53" i="1" s="1"/>
  <c r="L49" i="1"/>
  <c r="K49" i="1"/>
  <c r="J49" i="1"/>
  <c r="I49" i="1"/>
  <c r="H49" i="1"/>
  <c r="G49" i="1"/>
  <c r="F49" i="1"/>
  <c r="E49" i="1"/>
  <c r="D49" i="1"/>
  <c r="C49" i="1"/>
  <c r="L48" i="1"/>
  <c r="K48" i="1"/>
  <c r="J48" i="1"/>
  <c r="I48" i="1"/>
  <c r="H48" i="1"/>
  <c r="G48" i="1"/>
  <c r="F48" i="1"/>
  <c r="E48" i="1"/>
  <c r="D48" i="1"/>
  <c r="C48" i="1"/>
  <c r="L46" i="1"/>
  <c r="K46" i="1"/>
  <c r="J46" i="1"/>
  <c r="I46" i="1"/>
  <c r="H46" i="1"/>
  <c r="G46" i="1"/>
  <c r="F46" i="1"/>
  <c r="E46" i="1"/>
  <c r="D46" i="1"/>
  <c r="C46" i="1"/>
  <c r="L45" i="1"/>
  <c r="K45" i="1"/>
  <c r="J45" i="1"/>
  <c r="I45" i="1"/>
  <c r="H45" i="1"/>
  <c r="G45" i="1"/>
  <c r="F45" i="1"/>
  <c r="E45" i="1"/>
  <c r="D45" i="1"/>
  <c r="C45" i="1"/>
  <c r="L44" i="1"/>
  <c r="K44" i="1"/>
  <c r="J44" i="1"/>
  <c r="I44" i="1"/>
  <c r="H44" i="1"/>
  <c r="G44" i="1"/>
  <c r="F44" i="1"/>
  <c r="E44" i="1"/>
  <c r="D44" i="1"/>
  <c r="C44" i="1"/>
  <c r="L43" i="1"/>
  <c r="K43" i="1"/>
  <c r="J43" i="1"/>
  <c r="I43" i="1"/>
  <c r="H43" i="1"/>
  <c r="G43" i="1"/>
  <c r="F43" i="1"/>
  <c r="E43" i="1"/>
  <c r="D43" i="1"/>
  <c r="C43" i="1"/>
  <c r="L42" i="1"/>
  <c r="K42" i="1"/>
  <c r="J42" i="1"/>
  <c r="I42" i="1"/>
  <c r="H42" i="1"/>
  <c r="G42" i="1"/>
  <c r="F42" i="1"/>
  <c r="E42" i="1"/>
  <c r="D42" i="1"/>
  <c r="C42" i="1"/>
  <c r="L41" i="1"/>
  <c r="K41" i="1"/>
  <c r="J41" i="1"/>
  <c r="I41" i="1"/>
  <c r="H41" i="1"/>
  <c r="G41" i="1"/>
  <c r="F41" i="1"/>
  <c r="E41" i="1"/>
  <c r="D41" i="1"/>
  <c r="C41" i="1"/>
  <c r="L40" i="1"/>
  <c r="K40" i="1"/>
  <c r="J40" i="1"/>
  <c r="I40" i="1"/>
  <c r="H40" i="1"/>
  <c r="G40" i="1"/>
  <c r="F40" i="1"/>
  <c r="E40" i="1"/>
  <c r="D40" i="1"/>
  <c r="C40" i="1"/>
  <c r="L39" i="1"/>
  <c r="K39" i="1"/>
  <c r="J39" i="1"/>
  <c r="I39" i="1"/>
  <c r="H39" i="1"/>
  <c r="G39" i="1"/>
  <c r="F39" i="1"/>
  <c r="E39" i="1"/>
  <c r="D39" i="1"/>
  <c r="C39" i="1"/>
  <c r="E34" i="1"/>
  <c r="D34" i="1"/>
  <c r="L16" i="1"/>
  <c r="K16" i="1"/>
  <c r="J16" i="1"/>
  <c r="I16" i="1"/>
  <c r="H16" i="1"/>
  <c r="G16" i="1"/>
  <c r="F16" i="1"/>
  <c r="E16" i="1"/>
  <c r="D16" i="1"/>
  <c r="C16" i="1"/>
  <c r="C50" i="1" s="1"/>
  <c r="Y15" i="1"/>
  <c r="M15" i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Y14" i="1"/>
  <c r="M14" i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Y13" i="1"/>
  <c r="W13" i="1"/>
  <c r="X13" i="1" s="1"/>
  <c r="Y12" i="1"/>
  <c r="M12" i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Y11" i="1"/>
  <c r="M11" i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Y10" i="1"/>
  <c r="M10" i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Y9" i="1"/>
  <c r="M9" i="1"/>
  <c r="N9" i="1" s="1"/>
  <c r="O9" i="1" s="1"/>
  <c r="P9" i="1" s="1"/>
  <c r="Q9" i="1" s="1"/>
  <c r="R9" i="1" s="1"/>
  <c r="S9" i="1" s="1"/>
  <c r="T9" i="1" s="1"/>
  <c r="U9" i="1" s="1"/>
  <c r="V9" i="1" s="1"/>
  <c r="W9" i="1" s="1"/>
  <c r="Y8" i="1"/>
  <c r="M8" i="1"/>
  <c r="N8" i="1" s="1"/>
  <c r="O8" i="1" s="1"/>
  <c r="P8" i="1" s="1"/>
  <c r="Q8" i="1" s="1"/>
  <c r="R8" i="1" s="1"/>
  <c r="S8" i="1" s="1"/>
  <c r="T8" i="1" s="1"/>
  <c r="U8" i="1" s="1"/>
  <c r="V8" i="1" s="1"/>
  <c r="W8" i="1" s="1"/>
  <c r="Y7" i="1"/>
  <c r="M7" i="1"/>
  <c r="N7" i="1" s="1"/>
  <c r="O7" i="1" s="1"/>
  <c r="P7" i="1" s="1"/>
  <c r="Q7" i="1" s="1"/>
  <c r="R7" i="1" s="1"/>
  <c r="S7" i="1" s="1"/>
  <c r="T7" i="1" s="1"/>
  <c r="U7" i="1" s="1"/>
  <c r="V7" i="1" s="1"/>
  <c r="W7" i="1" s="1"/>
  <c r="Y6" i="1"/>
  <c r="M6" i="1"/>
  <c r="N6" i="1" s="1"/>
  <c r="O6" i="1" s="1"/>
  <c r="P6" i="1" s="1"/>
  <c r="Q6" i="1" s="1"/>
  <c r="R6" i="1" s="1"/>
  <c r="S6" i="1" s="1"/>
  <c r="T6" i="1" s="1"/>
  <c r="U6" i="1" s="1"/>
  <c r="V6" i="1" s="1"/>
  <c r="W6" i="1" s="1"/>
  <c r="Y5" i="1"/>
  <c r="M5" i="1"/>
  <c r="Y16" i="1" l="1"/>
  <c r="L18" i="1"/>
  <c r="L36" i="1" s="1"/>
  <c r="L50" i="1"/>
  <c r="L17" i="1"/>
  <c r="K18" i="1"/>
  <c r="K36" i="1" s="1"/>
  <c r="K17" i="1"/>
  <c r="K50" i="1"/>
  <c r="J18" i="1"/>
  <c r="J36" i="1" s="1"/>
  <c r="J17" i="1"/>
  <c r="J50" i="1"/>
  <c r="I18" i="1"/>
  <c r="I36" i="1" s="1"/>
  <c r="I50" i="1"/>
  <c r="I17" i="1"/>
  <c r="H18" i="1"/>
  <c r="H36" i="1" s="1"/>
  <c r="H17" i="1"/>
  <c r="H50" i="1"/>
  <c r="G18" i="1"/>
  <c r="G36" i="1" s="1"/>
  <c r="G17" i="1"/>
  <c r="G50" i="1"/>
  <c r="F18" i="1"/>
  <c r="F36" i="1" s="1"/>
  <c r="F50" i="1"/>
  <c r="F17" i="1"/>
  <c r="E17" i="1"/>
  <c r="E18" i="1"/>
  <c r="E36" i="1" s="1"/>
  <c r="E50" i="1"/>
  <c r="D17" i="1"/>
  <c r="D50" i="1"/>
  <c r="D18" i="1"/>
  <c r="D36" i="1" s="1"/>
  <c r="X15" i="1"/>
  <c r="W49" i="1"/>
  <c r="X14" i="1"/>
  <c r="W48" i="1"/>
  <c r="X12" i="1"/>
  <c r="W46" i="1"/>
  <c r="X11" i="1"/>
  <c r="W45" i="1"/>
  <c r="W44" i="1"/>
  <c r="X10" i="1"/>
  <c r="X9" i="1"/>
  <c r="W43" i="1"/>
  <c r="W42" i="1"/>
  <c r="X8" i="1"/>
  <c r="X7" i="1"/>
  <c r="W41" i="1"/>
  <c r="X6" i="1"/>
  <c r="W40" i="1"/>
  <c r="N5" i="1"/>
  <c r="M52" i="1"/>
  <c r="M53" i="1" s="1"/>
  <c r="M16" i="1"/>
  <c r="N16" i="1" l="1"/>
  <c r="N52" i="1"/>
  <c r="N53" i="1" s="1"/>
  <c r="O5" i="1"/>
  <c r="M17" i="1"/>
  <c r="M50" i="1"/>
  <c r="M18" i="1"/>
  <c r="M36" i="1" s="1"/>
  <c r="N18" i="1" l="1"/>
  <c r="N36" i="1" s="1"/>
  <c r="N50" i="1"/>
  <c r="N17" i="1"/>
  <c r="O16" i="1"/>
  <c r="P5" i="1"/>
  <c r="O52" i="1"/>
  <c r="O53" i="1" s="1"/>
  <c r="O17" i="1" l="1"/>
  <c r="O18" i="1"/>
  <c r="O36" i="1" s="1"/>
  <c r="O50" i="1"/>
  <c r="P52" i="1"/>
  <c r="P53" i="1" s="1"/>
  <c r="Q5" i="1"/>
  <c r="P16" i="1"/>
  <c r="R5" i="1" l="1"/>
  <c r="Q16" i="1"/>
  <c r="Q52" i="1"/>
  <c r="Q53" i="1" s="1"/>
  <c r="P17" i="1"/>
  <c r="P18" i="1"/>
  <c r="P36" i="1" s="1"/>
  <c r="P50" i="1"/>
  <c r="R16" i="1" l="1"/>
  <c r="S5" i="1"/>
  <c r="R52" i="1"/>
  <c r="R53" i="1" s="1"/>
  <c r="Q17" i="1"/>
  <c r="Q50" i="1"/>
  <c r="Q18" i="1"/>
  <c r="Q36" i="1" s="1"/>
  <c r="R18" i="1" l="1"/>
  <c r="R36" i="1" s="1"/>
  <c r="R50" i="1"/>
  <c r="R17" i="1"/>
  <c r="S16" i="1"/>
  <c r="S52" i="1"/>
  <c r="S53" i="1" s="1"/>
  <c r="T5" i="1"/>
  <c r="S50" i="1" l="1"/>
  <c r="S17" i="1"/>
  <c r="S18" i="1"/>
  <c r="S36" i="1" s="1"/>
  <c r="U5" i="1"/>
  <c r="T16" i="1"/>
  <c r="T52" i="1"/>
  <c r="T53" i="1" s="1"/>
  <c r="U16" i="1" l="1"/>
  <c r="V5" i="1"/>
  <c r="U52" i="1"/>
  <c r="U53" i="1" s="1"/>
  <c r="T17" i="1"/>
  <c r="T50" i="1"/>
  <c r="T18" i="1"/>
  <c r="T36" i="1" s="1"/>
  <c r="U17" i="1" l="1"/>
  <c r="U18" i="1"/>
  <c r="U36" i="1" s="1"/>
  <c r="U50" i="1"/>
  <c r="V52" i="1"/>
  <c r="V53" i="1" s="1"/>
  <c r="W5" i="1"/>
  <c r="V16" i="1"/>
  <c r="W39" i="1" l="1"/>
  <c r="X5" i="1"/>
  <c r="V17" i="1"/>
  <c r="V18" i="1"/>
  <c r="V36" i="1" s="1"/>
  <c r="W16" i="1"/>
  <c r="V50" i="1"/>
  <c r="W50" i="1" l="1"/>
  <c r="W36" i="1"/>
  <c r="X16" i="1"/>
</calcChain>
</file>

<file path=xl/sharedStrings.xml><?xml version="1.0" encoding="utf-8"?>
<sst xmlns="http://schemas.openxmlformats.org/spreadsheetml/2006/main" count="111" uniqueCount="45">
  <si>
    <t xml:space="preserve"> ■ 중장기 공급량 추정 (2026년 ~ 2045년) </t>
    <phoneticPr fontId="3" type="noConversion"/>
  </si>
  <si>
    <t xml:space="preserve"> ▣ 마케팅 기획 추정</t>
    <phoneticPr fontId="3" type="noConversion"/>
  </si>
  <si>
    <t>(단위 : GJ)</t>
    <phoneticPr fontId="3" type="noConversion"/>
  </si>
  <si>
    <t>구 분</t>
    <phoneticPr fontId="3" type="noConversion"/>
  </si>
  <si>
    <t>2026년</t>
    <phoneticPr fontId="3" type="noConversion"/>
  </si>
  <si>
    <t>2027년</t>
    <phoneticPr fontId="3" type="noConversion"/>
  </si>
  <si>
    <t>2028년</t>
    <phoneticPr fontId="3" type="noConversion"/>
  </si>
  <si>
    <t>2029년</t>
    <phoneticPr fontId="3" type="noConversion"/>
  </si>
  <si>
    <t>2030년</t>
    <phoneticPr fontId="3" type="noConversion"/>
  </si>
  <si>
    <t>2031년</t>
    <phoneticPr fontId="3" type="noConversion"/>
  </si>
  <si>
    <t>2032년</t>
    <phoneticPr fontId="3" type="noConversion"/>
  </si>
  <si>
    <t>2033년</t>
    <phoneticPr fontId="3" type="noConversion"/>
  </si>
  <si>
    <t>2034년</t>
    <phoneticPr fontId="3" type="noConversion"/>
  </si>
  <si>
    <t>2035년</t>
    <phoneticPr fontId="3" type="noConversion"/>
  </si>
  <si>
    <t>2036년</t>
  </si>
  <si>
    <t>2037년</t>
  </si>
  <si>
    <t>2038년</t>
  </si>
  <si>
    <t>2039년</t>
  </si>
  <si>
    <t>2040년</t>
  </si>
  <si>
    <t>2041년</t>
  </si>
  <si>
    <t>2042년</t>
  </si>
  <si>
    <t>2043년</t>
  </si>
  <si>
    <t>2044년</t>
  </si>
  <si>
    <t>2045년</t>
  </si>
  <si>
    <t>2026년대비 증감량</t>
    <phoneticPr fontId="3" type="noConversion"/>
  </si>
  <si>
    <t>주택용_취사/개별난방</t>
    <phoneticPr fontId="3" type="noConversion"/>
  </si>
  <si>
    <t>주택용_중집난방</t>
    <phoneticPr fontId="3" type="noConversion"/>
  </si>
  <si>
    <t>업무난방</t>
    <phoneticPr fontId="3" type="noConversion"/>
  </si>
  <si>
    <t>일반용</t>
    <phoneticPr fontId="3" type="noConversion"/>
  </si>
  <si>
    <t>냉난방용</t>
    <phoneticPr fontId="3" type="noConversion"/>
  </si>
  <si>
    <t>산업용</t>
    <phoneticPr fontId="3" type="noConversion"/>
  </si>
  <si>
    <t>열병합용</t>
    <phoneticPr fontId="3" type="noConversion"/>
  </si>
  <si>
    <t>연료전지용</t>
  </si>
  <si>
    <t>집단에너지</t>
    <phoneticPr fontId="3" type="noConversion"/>
  </si>
  <si>
    <t>수송용(BIO포함)</t>
    <phoneticPr fontId="3" type="noConversion"/>
  </si>
  <si>
    <t>주한미군용</t>
    <phoneticPr fontId="3" type="noConversion"/>
  </si>
  <si>
    <t>합계</t>
    <phoneticPr fontId="3" type="noConversion"/>
  </si>
  <si>
    <t>전년 대비 증감</t>
    <phoneticPr fontId="3" type="noConversion"/>
  </si>
  <si>
    <t>열량 증감</t>
    <phoneticPr fontId="3" type="noConversion"/>
  </si>
  <si>
    <t xml:space="preserve"> ■ 중장기 판매량 추정 (2026년 ~ 2035년)</t>
    <phoneticPr fontId="3" type="noConversion"/>
  </si>
  <si>
    <t xml:space="preserve"> ▣ 물량 환산</t>
    <phoneticPr fontId="3" type="noConversion"/>
  </si>
  <si>
    <t>2025년대비 증감량</t>
    <phoneticPr fontId="3" type="noConversion"/>
  </si>
  <si>
    <t>냉난방요</t>
    <phoneticPr fontId="3" type="noConversion"/>
  </si>
  <si>
    <t>부피 증감</t>
    <phoneticPr fontId="3" type="noConversion"/>
  </si>
  <si>
    <t>2025년대비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</si>
</sst>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.000"/>
    <numFmt numFmtId="177" formatCode="0.0%"/>
    <numFmt numFmtId="178" formatCode="#,##0_ ;[Red]\-#,##0\ "/>
    <numFmt numFmtId="179" formatCode="#,##0_ 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함초롬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함초롬돋움"/>
      <family val="3"/>
      <charset val="129"/>
    </font>
    <font>
      <b/>
      <sz val="11"/>
      <color theme="1"/>
      <name val="함초롬돋움"/>
      <family val="3"/>
      <charset val="129"/>
    </font>
    <font>
      <b/>
      <sz val="11"/>
      <name val="함초롬돋움"/>
      <family val="3"/>
      <charset val="129"/>
    </font>
    <font>
      <b/>
      <sz val="11"/>
      <color rgb="FFFF0000"/>
      <name val="함초롬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/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ck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ck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ck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ck">
        <color indexed="64"/>
      </right>
      <top style="thin">
        <color theme="0" tint="-0.499984740745262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2" fillId="0" borderId="0" xfId="0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7" fontId="4" fillId="0" borderId="0" xfId="2" applyNumberFormat="1" applyFont="1">
      <alignment vertical="center"/>
    </xf>
    <xf numFmtId="0" fontId="5" fillId="0" borderId="0" xfId="0" applyFont="1" applyAlignment="1">
      <alignment horizontal="left" vertical="center"/>
    </xf>
    <xf numFmtId="177" fontId="4" fillId="0" borderId="0" xfId="2" applyNumberFormat="1" applyFont="1" applyAlignment="1">
      <alignment horizontal="right"/>
    </xf>
    <xf numFmtId="176" fontId="4" fillId="0" borderId="0" xfId="0" applyNumberFormat="1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78" fontId="6" fillId="4" borderId="5" xfId="0" applyNumberFormat="1" applyFont="1" applyFill="1" applyBorder="1" applyAlignment="1">
      <alignment horizontal="right" vertical="center"/>
    </xf>
    <xf numFmtId="178" fontId="5" fillId="4" borderId="5" xfId="0" applyNumberFormat="1" applyFont="1" applyFill="1" applyBorder="1" applyAlignment="1">
      <alignment horizontal="right" vertical="center"/>
    </xf>
    <xf numFmtId="178" fontId="5" fillId="5" borderId="5" xfId="0" applyNumberFormat="1" applyFont="1" applyFill="1" applyBorder="1" applyAlignment="1">
      <alignment horizontal="right" vertical="center"/>
    </xf>
    <xf numFmtId="178" fontId="5" fillId="5" borderId="6" xfId="0" applyNumberFormat="1" applyFont="1" applyFill="1" applyBorder="1" applyAlignment="1">
      <alignment horizontal="right" vertical="center"/>
    </xf>
    <xf numFmtId="178" fontId="7" fillId="6" borderId="6" xfId="0" applyNumberFormat="1" applyFont="1" applyFill="1" applyBorder="1" applyAlignment="1">
      <alignment horizontal="right" vertical="center"/>
    </xf>
    <xf numFmtId="178" fontId="6" fillId="3" borderId="7" xfId="0" applyNumberFormat="1" applyFont="1" applyFill="1" applyBorder="1" applyAlignment="1">
      <alignment horizontal="right" vertical="center"/>
    </xf>
    <xf numFmtId="41" fontId="4" fillId="0" borderId="0" xfId="1" applyFont="1" applyAlignment="1">
      <alignment horizontal="center" vertical="center"/>
    </xf>
    <xf numFmtId="177" fontId="4" fillId="0" borderId="0" xfId="2" applyNumberFormat="1" applyFont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78" fontId="6" fillId="4" borderId="8" xfId="0" applyNumberFormat="1" applyFont="1" applyFill="1" applyBorder="1" applyAlignment="1">
      <alignment horizontal="right" vertical="center"/>
    </xf>
    <xf numFmtId="178" fontId="5" fillId="4" borderId="8" xfId="0" applyNumberFormat="1" applyFont="1" applyFill="1" applyBorder="1" applyAlignment="1">
      <alignment horizontal="right" vertical="center"/>
    </xf>
    <xf numFmtId="178" fontId="5" fillId="5" borderId="8" xfId="0" applyNumberFormat="1" applyFont="1" applyFill="1" applyBorder="1" applyAlignment="1">
      <alignment horizontal="right" vertical="center"/>
    </xf>
    <xf numFmtId="178" fontId="5" fillId="5" borderId="9" xfId="0" applyNumberFormat="1" applyFont="1" applyFill="1" applyBorder="1" applyAlignment="1">
      <alignment horizontal="right" vertical="center"/>
    </xf>
    <xf numFmtId="178" fontId="5" fillId="6" borderId="9" xfId="0" applyNumberFormat="1" applyFont="1" applyFill="1" applyBorder="1" applyAlignment="1">
      <alignment horizontal="right" vertical="center"/>
    </xf>
    <xf numFmtId="0" fontId="6" fillId="3" borderId="10" xfId="0" applyFont="1" applyFill="1" applyBorder="1" applyAlignment="1">
      <alignment horizontal="center" vertical="center"/>
    </xf>
    <xf numFmtId="178" fontId="6" fillId="4" borderId="10" xfId="0" applyNumberFormat="1" applyFont="1" applyFill="1" applyBorder="1" applyAlignment="1">
      <alignment horizontal="right" vertical="center"/>
    </xf>
    <xf numFmtId="178" fontId="5" fillId="4" borderId="10" xfId="0" applyNumberFormat="1" applyFont="1" applyFill="1" applyBorder="1" applyAlignment="1">
      <alignment horizontal="right" vertical="center"/>
    </xf>
    <xf numFmtId="178" fontId="5" fillId="5" borderId="10" xfId="0" applyNumberFormat="1" applyFont="1" applyFill="1" applyBorder="1" applyAlignment="1">
      <alignment horizontal="right" vertical="center"/>
    </xf>
    <xf numFmtId="178" fontId="5" fillId="5" borderId="11" xfId="0" applyNumberFormat="1" applyFont="1" applyFill="1" applyBorder="1" applyAlignment="1">
      <alignment horizontal="right" vertical="center"/>
    </xf>
    <xf numFmtId="178" fontId="5" fillId="6" borderId="11" xfId="0" applyNumberFormat="1" applyFont="1" applyFill="1" applyBorder="1" applyAlignment="1">
      <alignment horizontal="right" vertical="center"/>
    </xf>
    <xf numFmtId="0" fontId="6" fillId="3" borderId="12" xfId="0" applyFont="1" applyFill="1" applyBorder="1" applyAlignment="1">
      <alignment horizontal="center" vertical="center"/>
    </xf>
    <xf numFmtId="178" fontId="6" fillId="4" borderId="12" xfId="0" applyNumberFormat="1" applyFont="1" applyFill="1" applyBorder="1" applyAlignment="1">
      <alignment horizontal="right" vertical="center"/>
    </xf>
    <xf numFmtId="178" fontId="5" fillId="4" borderId="12" xfId="0" applyNumberFormat="1" applyFont="1" applyFill="1" applyBorder="1" applyAlignment="1">
      <alignment horizontal="right" vertical="center"/>
    </xf>
    <xf numFmtId="178" fontId="5" fillId="5" borderId="12" xfId="0" applyNumberFormat="1" applyFont="1" applyFill="1" applyBorder="1" applyAlignment="1">
      <alignment horizontal="right" vertical="center"/>
    </xf>
    <xf numFmtId="178" fontId="5" fillId="5" borderId="13" xfId="0" applyNumberFormat="1" applyFont="1" applyFill="1" applyBorder="1" applyAlignment="1">
      <alignment horizontal="right" vertical="center"/>
    </xf>
    <xf numFmtId="0" fontId="6" fillId="3" borderId="14" xfId="0" applyFont="1" applyFill="1" applyBorder="1" applyAlignment="1">
      <alignment horizontal="center" vertical="center"/>
    </xf>
    <xf numFmtId="178" fontId="6" fillId="4" borderId="14" xfId="0" applyNumberFormat="1" applyFont="1" applyFill="1" applyBorder="1" applyAlignment="1">
      <alignment horizontal="right" vertical="center"/>
    </xf>
    <xf numFmtId="178" fontId="5" fillId="5" borderId="14" xfId="0" applyNumberFormat="1" applyFont="1" applyFill="1" applyBorder="1" applyAlignment="1">
      <alignment horizontal="right" vertical="center"/>
    </xf>
    <xf numFmtId="178" fontId="5" fillId="5" borderId="15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178" fontId="6" fillId="3" borderId="2" xfId="0" applyNumberFormat="1" applyFont="1" applyFill="1" applyBorder="1" applyAlignment="1">
      <alignment horizontal="right" vertical="center"/>
    </xf>
    <xf numFmtId="10" fontId="4" fillId="0" borderId="0" xfId="2" applyNumberFormat="1" applyFont="1">
      <alignment vertical="center"/>
    </xf>
    <xf numFmtId="178" fontId="4" fillId="0" borderId="0" xfId="0" applyNumberFormat="1" applyFont="1">
      <alignment vertical="center"/>
    </xf>
    <xf numFmtId="177" fontId="4" fillId="0" borderId="0" xfId="2" applyNumberFormat="1" applyFont="1" applyFill="1">
      <alignment vertical="center"/>
    </xf>
    <xf numFmtId="178" fontId="6" fillId="3" borderId="5" xfId="0" applyNumberFormat="1" applyFont="1" applyFill="1" applyBorder="1" applyAlignment="1">
      <alignment horizontal="right" vertical="center"/>
    </xf>
    <xf numFmtId="178" fontId="6" fillId="3" borderId="8" xfId="0" applyNumberFormat="1" applyFont="1" applyFill="1" applyBorder="1" applyAlignment="1">
      <alignment horizontal="right" vertical="center"/>
    </xf>
    <xf numFmtId="178" fontId="6" fillId="3" borderId="16" xfId="0" applyNumberFormat="1" applyFont="1" applyFill="1" applyBorder="1" applyAlignment="1">
      <alignment horizontal="right" vertical="center"/>
    </xf>
    <xf numFmtId="178" fontId="6" fillId="3" borderId="10" xfId="0" applyNumberFormat="1" applyFont="1" applyFill="1" applyBorder="1" applyAlignment="1">
      <alignment horizontal="right" vertical="center"/>
    </xf>
    <xf numFmtId="178" fontId="6" fillId="3" borderId="17" xfId="0" applyNumberFormat="1" applyFont="1" applyFill="1" applyBorder="1" applyAlignment="1">
      <alignment horizontal="right" vertical="center"/>
    </xf>
    <xf numFmtId="178" fontId="6" fillId="5" borderId="10" xfId="0" applyNumberFormat="1" applyFont="1" applyFill="1" applyBorder="1" applyAlignment="1">
      <alignment horizontal="right" vertical="center"/>
    </xf>
    <xf numFmtId="178" fontId="6" fillId="3" borderId="12" xfId="0" applyNumberFormat="1" applyFont="1" applyFill="1" applyBorder="1" applyAlignment="1">
      <alignment horizontal="right" vertical="center"/>
    </xf>
    <xf numFmtId="178" fontId="6" fillId="5" borderId="12" xfId="0" applyNumberFormat="1" applyFont="1" applyFill="1" applyBorder="1" applyAlignment="1">
      <alignment horizontal="right" vertical="center"/>
    </xf>
    <xf numFmtId="178" fontId="6" fillId="3" borderId="18" xfId="0" applyNumberFormat="1" applyFont="1" applyFill="1" applyBorder="1" applyAlignment="1">
      <alignment horizontal="right" vertical="center"/>
    </xf>
    <xf numFmtId="178" fontId="6" fillId="3" borderId="14" xfId="0" applyNumberFormat="1" applyFont="1" applyFill="1" applyBorder="1" applyAlignment="1">
      <alignment horizontal="right" vertical="center"/>
    </xf>
    <xf numFmtId="178" fontId="6" fillId="3" borderId="19" xfId="0" applyNumberFormat="1" applyFont="1" applyFill="1" applyBorder="1" applyAlignment="1">
      <alignment horizontal="right" vertical="center"/>
    </xf>
    <xf numFmtId="178" fontId="6" fillId="3" borderId="20" xfId="0" applyNumberFormat="1" applyFont="1" applyFill="1" applyBorder="1" applyAlignment="1">
      <alignment horizontal="right" vertical="center"/>
    </xf>
    <xf numFmtId="179" fontId="4" fillId="0" borderId="0" xfId="1" applyNumberFormat="1" applyFont="1">
      <alignment vertical="center"/>
    </xf>
    <xf numFmtId="41" fontId="4" fillId="0" borderId="0" xfId="1" applyFont="1">
      <alignment vertical="center"/>
    </xf>
    <xf numFmtId="0" fontId="5" fillId="2" borderId="21" xfId="0" applyFont="1" applyFill="1" applyBorder="1" applyAlignment="1">
      <alignment horizontal="center" vertical="center"/>
    </xf>
    <xf numFmtId="177" fontId="6" fillId="4" borderId="5" xfId="2" applyNumberFormat="1" applyFont="1" applyFill="1" applyBorder="1" applyAlignment="1">
      <alignment horizontal="right" vertical="center"/>
    </xf>
    <xf numFmtId="177" fontId="6" fillId="5" borderId="5" xfId="2" applyNumberFormat="1" applyFont="1" applyFill="1" applyBorder="1" applyAlignment="1">
      <alignment horizontal="right" vertical="center"/>
    </xf>
    <xf numFmtId="177" fontId="6" fillId="5" borderId="6" xfId="2" applyNumberFormat="1" applyFont="1" applyFill="1" applyBorder="1" applyAlignment="1">
      <alignment horizontal="right" vertical="center"/>
    </xf>
    <xf numFmtId="177" fontId="6" fillId="6" borderId="6" xfId="2" applyNumberFormat="1" applyFont="1" applyFill="1" applyBorder="1" applyAlignment="1">
      <alignment horizontal="right" vertical="center"/>
    </xf>
    <xf numFmtId="177" fontId="6" fillId="6" borderId="22" xfId="2" applyNumberFormat="1" applyFont="1" applyFill="1" applyBorder="1" applyAlignment="1">
      <alignment horizontal="right" vertical="center"/>
    </xf>
    <xf numFmtId="177" fontId="6" fillId="3" borderId="7" xfId="2" applyNumberFormat="1" applyFont="1" applyFill="1" applyBorder="1" applyAlignment="1">
      <alignment horizontal="right" vertical="center"/>
    </xf>
    <xf numFmtId="177" fontId="6" fillId="4" borderId="8" xfId="2" applyNumberFormat="1" applyFont="1" applyFill="1" applyBorder="1" applyAlignment="1">
      <alignment horizontal="right" vertical="center"/>
    </xf>
    <xf numFmtId="177" fontId="6" fillId="5" borderId="8" xfId="2" applyNumberFormat="1" applyFont="1" applyFill="1" applyBorder="1" applyAlignment="1">
      <alignment horizontal="right" vertical="center"/>
    </xf>
    <xf numFmtId="177" fontId="6" fillId="5" borderId="9" xfId="2" applyNumberFormat="1" applyFont="1" applyFill="1" applyBorder="1" applyAlignment="1">
      <alignment horizontal="right" vertical="center"/>
    </xf>
    <xf numFmtId="177" fontId="6" fillId="6" borderId="9" xfId="2" applyNumberFormat="1" applyFont="1" applyFill="1" applyBorder="1" applyAlignment="1">
      <alignment horizontal="right" vertical="center"/>
    </xf>
    <xf numFmtId="177" fontId="6" fillId="6" borderId="23" xfId="2" applyNumberFormat="1" applyFont="1" applyFill="1" applyBorder="1" applyAlignment="1">
      <alignment horizontal="right" vertical="center"/>
    </xf>
    <xf numFmtId="177" fontId="6" fillId="3" borderId="16" xfId="2" applyNumberFormat="1" applyFont="1" applyFill="1" applyBorder="1" applyAlignment="1">
      <alignment horizontal="right" vertical="center"/>
    </xf>
    <xf numFmtId="177" fontId="6" fillId="4" borderId="10" xfId="2" applyNumberFormat="1" applyFont="1" applyFill="1" applyBorder="1" applyAlignment="1">
      <alignment horizontal="right" vertical="center"/>
    </xf>
    <xf numFmtId="177" fontId="6" fillId="5" borderId="10" xfId="2" applyNumberFormat="1" applyFont="1" applyFill="1" applyBorder="1" applyAlignment="1">
      <alignment horizontal="right" vertical="center"/>
    </xf>
    <xf numFmtId="177" fontId="6" fillId="5" borderId="11" xfId="2" applyNumberFormat="1" applyFont="1" applyFill="1" applyBorder="1" applyAlignment="1">
      <alignment horizontal="right" vertical="center"/>
    </xf>
    <xf numFmtId="177" fontId="6" fillId="6" borderId="11" xfId="2" applyNumberFormat="1" applyFont="1" applyFill="1" applyBorder="1" applyAlignment="1">
      <alignment horizontal="right" vertical="center"/>
    </xf>
    <xf numFmtId="177" fontId="6" fillId="6" borderId="24" xfId="2" applyNumberFormat="1" applyFont="1" applyFill="1" applyBorder="1" applyAlignment="1">
      <alignment horizontal="right" vertical="center"/>
    </xf>
    <xf numFmtId="177" fontId="6" fillId="3" borderId="17" xfId="2" applyNumberFormat="1" applyFont="1" applyFill="1" applyBorder="1" applyAlignment="1">
      <alignment horizontal="right" vertical="center"/>
    </xf>
    <xf numFmtId="177" fontId="6" fillId="4" borderId="12" xfId="2" applyNumberFormat="1" applyFont="1" applyFill="1" applyBorder="1" applyAlignment="1">
      <alignment horizontal="right" vertical="center"/>
    </xf>
    <xf numFmtId="177" fontId="6" fillId="5" borderId="12" xfId="2" applyNumberFormat="1" applyFont="1" applyFill="1" applyBorder="1" applyAlignment="1">
      <alignment horizontal="right" vertical="center"/>
    </xf>
    <xf numFmtId="177" fontId="6" fillId="5" borderId="13" xfId="2" applyNumberFormat="1" applyFont="1" applyFill="1" applyBorder="1" applyAlignment="1">
      <alignment horizontal="right" vertical="center"/>
    </xf>
    <xf numFmtId="177" fontId="6" fillId="6" borderId="13" xfId="2" applyNumberFormat="1" applyFont="1" applyFill="1" applyBorder="1" applyAlignment="1">
      <alignment horizontal="right" vertical="center"/>
    </xf>
    <xf numFmtId="177" fontId="6" fillId="6" borderId="25" xfId="2" applyNumberFormat="1" applyFont="1" applyFill="1" applyBorder="1" applyAlignment="1">
      <alignment horizontal="right" vertical="center"/>
    </xf>
    <xf numFmtId="177" fontId="6" fillId="3" borderId="18" xfId="2" applyNumberFormat="1" applyFont="1" applyFill="1" applyBorder="1" applyAlignment="1">
      <alignment horizontal="right" vertical="center"/>
    </xf>
    <xf numFmtId="177" fontId="6" fillId="4" borderId="14" xfId="2" applyNumberFormat="1" applyFont="1" applyFill="1" applyBorder="1" applyAlignment="1">
      <alignment horizontal="right" vertical="center"/>
    </xf>
    <xf numFmtId="177" fontId="6" fillId="5" borderId="14" xfId="2" applyNumberFormat="1" applyFont="1" applyFill="1" applyBorder="1" applyAlignment="1">
      <alignment horizontal="right" vertical="center"/>
    </xf>
    <xf numFmtId="177" fontId="6" fillId="5" borderId="15" xfId="2" applyNumberFormat="1" applyFont="1" applyFill="1" applyBorder="1" applyAlignment="1">
      <alignment horizontal="right" vertical="center"/>
    </xf>
    <xf numFmtId="177" fontId="6" fillId="6" borderId="15" xfId="2" applyNumberFormat="1" applyFont="1" applyFill="1" applyBorder="1" applyAlignment="1">
      <alignment horizontal="right" vertical="center"/>
    </xf>
    <xf numFmtId="177" fontId="6" fillId="6" borderId="26" xfId="2" applyNumberFormat="1" applyFont="1" applyFill="1" applyBorder="1" applyAlignment="1">
      <alignment horizontal="right" vertical="center"/>
    </xf>
    <xf numFmtId="177" fontId="6" fillId="3" borderId="19" xfId="2" applyNumberFormat="1" applyFont="1" applyFill="1" applyBorder="1" applyAlignment="1">
      <alignment horizontal="right" vertical="center"/>
    </xf>
    <xf numFmtId="177" fontId="6" fillId="3" borderId="2" xfId="2" applyNumberFormat="1" applyFont="1" applyFill="1" applyBorder="1" applyAlignment="1">
      <alignment horizontal="right" vertical="center"/>
    </xf>
    <xf numFmtId="177" fontId="6" fillId="6" borderId="2" xfId="2" applyNumberFormat="1" applyFont="1" applyFill="1" applyBorder="1" applyAlignment="1">
      <alignment horizontal="right" vertical="center"/>
    </xf>
    <xf numFmtId="177" fontId="6" fillId="3" borderId="27" xfId="2" applyNumberFormat="1" applyFont="1" applyFill="1" applyBorder="1" applyAlignment="1">
      <alignment horizontal="righ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calcChain" Target="calcChain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12.%20&#49324;&#50629;&#44228;&#54925;/2027&#45380;/2045/2045_&#51473;&#51109;&#44592;%20&#47932;&#47049;%20&#52628;&#51221;(&#51228;&#52636;)_&#51613;&#44048;&#54364;&#44592;(20261013).xlsx" TargetMode="External"/><Relationship Id="rId2" Type="http://schemas.openxmlformats.org/officeDocument/2006/relationships/externalLinkPath" Target="file:///D:\Users\user\Desktop\0.%20&#47560;&#52992;&#54021;&#44592;&#54925;&#54016;\2026\12.%20&#49324;&#50629;&#44228;&#54925;\2027&#45380;\2045\2045_&#51473;&#51109;&#44592;%20&#47932;&#47049;%20&#52628;&#51221;(&#51228;&#52636;)_&#51613;&#44048;&#54364;&#44592;(20261013).xlsx" TargetMode="External"/><Relationship Id="rId1" Type="http://schemas.openxmlformats.org/officeDocument/2006/relationships/externalLinkPath" Target="/Users/user/Desktop/0.%20&#47560;&#52992;&#54021;&#44592;&#54925;&#54016;/2026/12.%20&#49324;&#50629;&#44228;&#54925;/2027&#45380;/2045/2045_&#51473;&#51109;&#44592;%20&#47932;&#47049;%20&#52628;&#51221;(&#51228;&#52636;)_&#51613;&#44048;&#54364;&#44592;(2026101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48;&#45212;&#47928;&#49436;\&#51648;&#45212;&#47928;&#49436;\&#44204;&#51201;\&#53468;&#50773;\&#45824;&#48393;&#44540;&#49373;\My%20Documents\&#51456;&#44277;&#44160;&#49324;\&#50808;&#46041;\&#50808;&#46041;&#51204;&#44592;(&#47932;&#48320;)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51221;&#51060;\2003&#51221;&#51060;\&#45796;&#53328;&#45796;&#53328;\&#49900;&#49324;&#48516;&#49437;&#54217;&#44032;\2001&#45380;\200107\&#52509;&#44292;\&#47560;&#49828;&#53552;&#53596;&#54540;&#47532;&#53944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My%20Documents\&#51652;&#54665;&#51473;&#51064;&#44277;&#49324;\&#46041;&#48512;&#44428;&#45453;&#49328;&#47932;&#49884;&#51109;\&#51088;&#51116;&#54788;&#5488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201;&#4420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&#51077;&#52272;\2001&#51077;&#52272;\&#52285;&#50896;&#49884;&#49345;&#49688;&#46020;&#9314;\&#45800;&#44032;&#51312;&#49324;&#49436;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49688;&#50836;&#44060;&#48156;&#54016;/&#44592;&#54925;/0.%20work/1.%20&#49324;&#50629;&#44228;&#54925;/1.&#49324;&#50629;&#44228;&#54925;/&#49324;&#50629;&#44228;&#54925;_2025&#45380;/&#45817;&#52488;&#49324;&#50629;&#44228;&#54925;/&#54016;&#50836;&#52397;&#48143;&#51217;&#49688;/(240927)%202025&#45380;_&#49324;&#50629;&#44228;&#54925;_&#44277;&#46041;&#51452;&#53469;%20(&#54889;&#44305;&#49437;)_240927_ver4.xlsx" TargetMode="External"/><Relationship Id="rId1" Type="http://schemas.openxmlformats.org/officeDocument/2006/relationships/externalLinkPath" Target="/&#49688;&#50836;&#44060;&#48156;&#54016;/&#44592;&#54925;/0.%20work/1.%20&#49324;&#50629;&#44228;&#54925;/1.&#49324;&#50629;&#44228;&#54925;/&#49324;&#50629;&#44228;&#54925;_2025&#45380;/&#45817;&#52488;&#49324;&#50629;&#44228;&#54925;/&#54016;&#50836;&#52397;&#48143;&#51217;&#49688;/(240927)%202025&#45380;_&#49324;&#50629;&#44228;&#54925;_&#44277;&#46041;&#51452;&#53469;%20(&#54889;&#44305;&#49437;)_240927_ver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50629;&#47924;_&#44221;&#50689;&#44592;&#54925;&#54016;/3.0%20&#49324;&#50629;&#44228;&#54925;/&#51473;&#51109;&#44592;&#44221;&#50689;&#44228;&#54925;_&#49324;&#50629;&#49457;&#51648;&#54364;/250210_&#51473;&#44592;%20&#49552;&#51061;%20&#52628;&#51221;_25&#45380;~28&#45380;/&#44277;&#44553;&#47049;%20&#51473;&#51109;&#44592;(25~28&#45380;)%20&#44228;&#54925;_&#47560;&#52992;&#54021;&#44592;&#54925;_&#51060;&#49884;&#48276;&#52264;&#51109;_0210.xlsx" TargetMode="External"/><Relationship Id="rId1" Type="http://schemas.openxmlformats.org/officeDocument/2006/relationships/externalLinkPath" Target="/&#50629;&#47924;_&#44221;&#50689;&#44592;&#54925;&#54016;/3.0%20&#49324;&#50629;&#44228;&#54925;/&#51473;&#51109;&#44592;&#44221;&#50689;&#44228;&#54925;_&#49324;&#50629;&#49457;&#51648;&#54364;/250210_&#51473;&#44592;%20&#49552;&#51061;%20&#52628;&#51221;_25&#45380;~28&#45380;/&#44277;&#44553;&#47049;%20&#51473;&#51109;&#44592;(25~28&#45380;)%20&#44228;&#54925;_&#47560;&#52992;&#54021;&#44592;&#54925;_&#51060;&#49884;&#48276;&#52264;&#51109;_021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&#48516;&#44592;&#48372;&#44256;\&#44208;&#49328;&#49436;&#49885;\101-116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50629;&#47924;_&#51116;&#47924;&#54016;/2.0%20&#49324;&#50629;&#44228;&#54925;/2022&#45380;%20&#49324;&#50629;&#44228;&#54925;&#49436;/&#48512;&#49436;&#49688;&#54633;_211021/2022&#45380;%20&#49324;&#50629;&#44228;&#54925;_&#51204;&#47029;&#44592;&#54925;&#48376;&#48512;%20&#51116;&#47924;_&#54032;&#47588;&#47049;%20&#51312;&#51221;_211025.xlsx" TargetMode="External"/><Relationship Id="rId1" Type="http://schemas.openxmlformats.org/officeDocument/2006/relationships/externalLinkPath" Target="/&#50629;&#47924;_&#51116;&#47924;&#54016;/2.0%20&#49324;&#50629;&#44228;&#54925;/2022&#45380;%20&#49324;&#50629;&#44228;&#54925;&#49436;/&#48512;&#49436;&#49688;&#54633;_211021/2022&#45380;%20&#49324;&#50629;&#44228;&#54925;_&#51204;&#47029;&#44592;&#54925;&#48376;&#48512;%20&#51116;&#47924;_&#54032;&#47588;&#47049;%20&#51312;&#51221;_211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8393;&#44592;\&#44592;&#54925;-&#44608;&#44284;&#51109;\dumm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8393;&#44592;\&#44592;&#54925;-&#44608;&#52264;&#51109;\dumm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&#50668;&#51032;&#46020;/WINDOWS/9605G/DS-LOA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ESIGN\GHJY\GHJY31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54872;\C\&#51060;&#51116;&#54872;\&#47532;&#48260;&#54028;&#53356;\&#54028;&#53356;&#48624;\&#52629;&#49328;&#47932;\&#49884;&#44277;&#44228;&#54925;\&#44553;&#45257;&#53552;&#45328;\&#44148;&#49444;&#45236;&#5066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924;&#44228;&#54016;&#44277;&#50857;\&#54924;&#44228;&#54016;&#47928;&#49436;&#44277;\My%20Documents\dumm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WINDOWS\GI-LIS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2\&#51452;&#45716;&#44275;\GOD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51648;&#54616;&#50669;&#49324;\&#47928;&#54408;&#51032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857;&#50864;\C\WINDOWS\TEMP\~MF097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s\c\&#51068;&#47784;\97&#44208;&#49328;\&#44208;&#49328;&#49436;&#49885;\000_05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61.33.205.199/Windows/&#48148;&#53461;%20&#54868;&#47732;/Venture/bpi/KHRHEE/Others/ETC/SDD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765KV&#49888;&#53468;&#48177;&#48320;&#51204;&#49548;\&#54788;&#51109;&#49444;&#47749;&#49436;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2001&#45380;/&#49556;&#44060;/3_2&#50689;&#50629;&#50808;&#49552;&#51061;.XLS" TargetMode="External"/><Relationship Id="rId1" Type="http://schemas.openxmlformats.org/officeDocument/2006/relationships/externalLinkPath" Target="/2001&#45380;/&#49556;&#44060;/3_2&#50689;&#50629;&#50808;&#49552;&#5106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11.35.39.153\f\&#51060;&#44305;&#54840;\99&#51312;&#51221;&#47749;&#49464;\&#51116;&#47924;&#51228;&#5436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My%20Documents\&#51453;&#44257;PKG2\&#44592;&#44592;&#51060;&#49444;(&#49436;&#52285;&#45909;)\&#45800;&#44032;&#44277;&#49324;%20&#49444;&#52824;&#45236;&#50669;&#49436;\10&#50900;\10&#50900;%20&#44256;&#50517;&#45800;&#44032;&#44277;&#493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456;&#51068;\&#44277;&#50976;\My%20Document\&#44620;&#52824;\KIECO%20Model_Updated_Sim_simulatio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20;&#51204;&#49548;\&#52397;&#53685;(&#52384;&#44264;&#54805;(C&#54805;))\&#51204;&#44592;&#49444;&#48708;\&#51204;&#44592;&#49444;&#48708;\CAD\C&#54805;\6.&#54408;&#49480;&#5436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09\c\SHEET\EXCEL\KHS\&#48512;&#45824;&#53664;&#47785;\&#48512;&#49328;&#51652;&#50577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8152;&#50900;%20&#50676;&#48337;&#54633;%20stx\&#51089;&#50629;\&#47932;&#47049;\&#53685;&#49888;%20&#47932;&#47049;%20&#51665;&#44228;&#5436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1\&#44592;&#44228;&#44277;&#50976;\DATA\PHUNGTAK\&#44592;&#44592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MJ\&#44288;&#46988;&#49437;(&#48516;&#45817;&#52636;&#44256;&#49468;&#53552;2001.1.10&#48512;&#44305;&#51228;&#52636;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W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7.0.53/lee/YES-I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2\&#51452;&#45716;&#44275;\&#45236;&#50669;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54872;\C\&#51060;&#51116;&#54872;\&#47532;&#48260;&#54028;&#53356;\&#54028;&#53356;&#48624;\&#52629;&#49328;&#47932;\&#49884;&#44277;&#44228;&#54925;\&#44036;&#51060;&#54156;&#54532;&#51109;\&#44148;&#49444;&#45236;&#50669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m&#47588;&#54252;&#54616;&#49688;&#52376;&#47532;&#51109;\&#44592;&#44228;\&#44204;&#51201;&#49324;&#44552;&#50529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kh\1lkh\1lkh\&#44208;&#49328;\2002&#45380;\02_&#44592;&#47568;\&#51312;&#51221;2002\kim02_&#53748;&#51649;&#52628;&#44228;&#5052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m&#47588;&#54252;&#54616;&#49688;&#52376;&#47532;&#51109;\&#44592;&#44228;\COS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m&#47588;&#54252;&#54616;&#49688;&#52376;&#47532;&#51109;\&#44592;&#44228;\BAE-J-N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77;&#50629;%20cd1\&#44277;&#49324;%20&#51652;&#54665;&#51473;\&#45824;&#49888;&#46041;&#51116;&#44060;&#48156;&#50500;&#54028;&#53944;\&#51076;&#49884;&#51200;&#51109;\&#51089;&#50629;\&#48512;&#49328;&#54868;&#47749;100%25(&#51089;&#50629;&#51473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wner\LOCALS~1\Temp\&#50696;&#49328;&#45236;&#50669;&#51204;&#49328;&#54868;&#54028;&#51068;%20(&#48373;&#44396;rsion%202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MJ\&#49884;&#49444;&#48512;&#51089;&#50629;&#51032;&#47280;&#49436;&#47785;&#52264;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44592;&#54925;&#44288;&#47532;/A.&#44592;&#54925;/03.&#44221;&#50689;&#51204;&#47029;/&#49324;&#50629;&#44228;&#54925;/kicc2002&#45380;%20&#49324;&#50629;&#44228;&#54925;/WINDOWS/TEMP/forecast%20model%204.xls" TargetMode="External"/><Relationship Id="rId1" Type="http://schemas.openxmlformats.org/officeDocument/2006/relationships/externalLinkPath" Target="/&#44592;&#54925;&#44288;&#47532;/A.&#44592;&#54925;/03.&#44221;&#50689;&#51204;&#47029;/&#49324;&#50629;&#44228;&#54925;/kicc2002&#45380;%20&#49324;&#50629;&#44228;&#54925;/WINDOWS/TEMP/forecast%20model%204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kk\My%20Documents\&#44277;&#51312;&#50948;&#49373;&#49548;&#48169;&#49892;&#47932;&#47049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IS\&#44204;&#51201;&#49436;\&#49457;&#49436;&#49436;&#54620;2&#52264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3468;&#50864;\&#50900;&#48372;7&#50900;\7&#50900;&#50836;&#44552;&#44288;&#47532;&#50900;&#48372;(&#45208;&#49688;&#50676;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28\c\harley\excel\&#46020;&#47196;\&#45909;&#54217;-&#55121;&#49437;\&#54532;&#47004;(PLAN)\&#52397;&#52380;\200&#48156;&#51452;\2000&#52397;&#52380;-&#45909;&#54217;&#48156;&#51452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456;&#51068;\&#44277;&#50976;\x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&#44204;&#51201;\&#51312;&#54788;&#52384;\&#51088;&#51064;-&#51652;&#47049;\SG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Documents%20and%20Settings/yyk/My%20Documents/&#50896;&#50976;&#44053;/&#54924;&#44228;/2005&#45380;/&#47588;&#52636;&#50896;&#44032;%20&#48143;%20&#47588;&#52636;&#50529;/&#51088;&#46041;&#44032;&#49828;&#50896;&#44032;%20(2005&#45380;11&#50900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PARK\&#52509;&#44292;&#50629;&#47924;\DATA\hjk\&#49324;&#50629;&#44228;&#54925;&#49436;\internet\&#51204;&#50857;&#47581;&#44228;&#54925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kh\lkh\lkh\lkh\1lkh\1lkh\&#49324;&#50629;&#44228;&#54925;\2005&#45380;\2005&#45380;&#49688;&#51221;(100&#50613;)\&#52572;&#51333;&#54869;&#51221;\lkh_2005&#49324;&#50629;&#44228;&#54925;_&#51089;&#49457;_&#49688;&#50836;&#44060;&#48156;&#48152;&#50689;&#54980;(&#45800;&#44032;&#48320;&#46041;&#51204;)_&#49688;&#51221;&#54980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109;1\&#45824;&#49888;&#47784;&#50500;&#46300;&#47548;\My%20Documents\&#51221;&#51221;&#49688;\&#51221;&#51221;&#49688;\&#44204;&#51201;&#47932;&#47049;\&#49688;&#51452;&#54788;&#51109;\&#44396;&#48120;&#48393;&#44257;%20&#45348;&#50724;&#48716;&#50500;&#53944;\&#44396;&#48120;&#48393;&#44257;&#48320;&#44221;&#45236;&#50669;(03.08.10)\&#45824;&#44396;&#45824;%20&#51105;&#52384;&#44204;&#51201;&#45824;&#48708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6300;&#47548;&#49884;&#54000;\&#50500;&#54028;&#53944;\&#49892;&#54665;&#48143;&#54788;&#49444;\&#45236;&#51109;&#47785;&#44277;&#4932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r-wmail1.mail.lycos.co.kr/&#44592;&#54788;&#51089;&#50629;/99&#45380;&#49345;&#48152;/MSOFFICE/EXCEL/&#51228;&#51068;&#50504;&#4428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452;&#54805;\C\&#44592;&#49457;&#44288;&#47532;\&#48149;&#47932;&#44288;\&#46041;&#48512;&#51613;&#44428;\&#44160;&#49324;&#44228;&#5055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yyk\My%20Documents\&#50896;&#50976;&#44053;\&#54924;&#44228;\2005&#45380;\&#47588;&#52636;&#50896;&#44032;%20&#48143;%20&#47588;&#52636;&#50529;\&#51088;&#46041;&#44032;&#49828;&#50896;&#44032;%20(2005&#45380;11&#50900;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&#48516;&#44592;&#48372;&#44256;\&#48376;&#49324;&#44208;&#49328;\000_048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&#49324;&#50629;&#44228;&#54925;\2007&#45380;&#49324;&#50629;&#44228;&#54925;\&#45817;&#52488;&#49324;&#50629;&#44228;&#54925;_2007\&#44288;&#47196;&#44228;&#54925;\&#44288;&#47196;&#49324;&#50629;&#44228;&#54925;(2007)-&#52572;&#51333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5225;(&#52572;&#51064;&#49885;)\&#49324;&#50629;&#44228;&#54925;\2020&#45380;&#49324;&#50629;&#44228;&#54925;\Normal\3&#50900;\3&#50900;24&#51068;&#51088;\2020&#45380;%20&#49324;&#50629;&#44228;&#54925;&#49436;(Normal)_ver6.0_(200324)-case1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user\LOCALS~1\Temp\200601\&#44592;&#49457;&#45236;&#50669;&#49436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Seeljuk\PowerNet\&#44148;&#52629;\&#50896;&#48376;&#54028;&#51068;\3&#54200;_&#44148;&#52629;&#49444;&#44228;&#50696;&#49884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9345;&#50865;\&#50696;&#49328;&#44288;&#47144;\&#50696;2004-2-A-(&#51088;&#51116;4&#50900;21&#51068;)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2004.09.23%20&#46041;&#50577;&#49884;&#47704;&#53944;\&#44592;&#48376;&#49444;&#44228;\&#47932;&#47049;\2004.12.10%20&#49888;&#44305;&#49328;_&#44277;&#49324;&#48708;&#50696;&#49328;&#4943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09\c\MYDOCU~1\A-&#49345;&#50857;\C000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51077;&#52272;&#45236;&#50669;\&#52380;&#50504;-~1\&#52380;&#50504;F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seoulgas.co.kr/&#51221;&#46041;&#54840;/&#46041;&#54840;&#50629;&#47924;/&#51088;&#49328;&#44288;&#47532;/2003&#45380;/&#51204;&#45380;&#46020;&#52280;&#44256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28\c\harley\excel\&#46020;&#47196;\&#45909;&#54217;-&#55121;&#49437;\&#49324;&#50629;2000excell\E&#44397;&#51648;&#46020;\&#47928;&#44305;&#52397;&#52380;\2000year\&#52397;&#52380;&#44396;&#44036;\&#52397;&#52380;&#45909;&#54217;&#44036;\2000&#52397;&#52380;-&#45909;&#54217;&#48156;&#51452;&#54252;&#51109;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77;&#50629;%20cd1\&#44277;&#49324;%20&#51652;&#54665;&#51473;\&#45824;&#49888;&#46041;&#51116;&#44060;&#48156;&#50500;&#54028;&#53944;\&#51076;&#49884;&#51200;&#51109;\&#51089;&#50629;\&#50504;&#49328;&#44256;&#51092;2&#44277;&#44396;&#48512;&#45824;&#49436;&#4744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&#44608;&#50857;&#44592;\&#50641;&#49472;\GUMI4B2\&#51228;&#51452;&#50672;&#46041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EST\civil\s&#49340;&#49328;&#54644;&#45224;\S70\S&#49340;&#49328;&#48512;&#45824;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1&#54924;&#44228;&#44288;&#47144;/&#49688;&#48520;&#48512;/&#49345;&#54408;&#49688;&#48520;(16-/&#49345;&#54408;&#49688;&#48520;&#48512;/&#49345;&#54408;&#49688;&#48520;201610.xls" TargetMode="External"/><Relationship Id="rId1" Type="http://schemas.openxmlformats.org/officeDocument/2006/relationships/externalLinkPath" Target="/1&#54924;&#44228;&#44288;&#47144;/&#49688;&#48520;&#48512;/&#49345;&#54408;&#49688;&#48520;(16-/&#49345;&#54408;&#49688;&#48520;&#48512;/&#49345;&#54408;&#49688;&#48520;201610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jlim\c\LOTUS\9703H\IL-3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&#49352;%20&#54260;&#45908;%20(2)/2005&#45380;%20&#44228;&#54925;&#49892;&#51201;%20&#52628;&#51221;.xls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work/2007&#45380;&#46020;/&#44288;&#47196;&#44277;&#49324;%20&#49324;&#50629;&#44228;&#54925;/2008&#45380;/&#45817;&#52488;&#49324;&#50629;&#44228;&#54925;/01-&#49324;&#50629;&#44228;&#54925;(2008).xls" TargetMode="External"/><Relationship Id="rId1" Type="http://schemas.openxmlformats.org/officeDocument/2006/relationships/externalLinkPath" Target="/work/2007&#45380;&#46020;/&#44288;&#47196;&#44277;&#49324;%20&#49324;&#50629;&#44228;&#54925;/2008&#45380;/&#45817;&#52488;&#49324;&#50629;&#44228;&#54925;/01-&#49324;&#50629;&#44228;&#54925;(2008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99&#44208;&#49328;\&#45236;&#47928;&#49436;\&#44208;&#49328;\98&#44208;&#49328;\101-116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7.0.53/cho/&#44277;&#49324;&#54408;&#51656;/&#44277;&#49324;&#51088;&#47308;/&#49444;&#44228;&#51088;&#47308;/&#51221;&#49688;&#51648;%203-4&#45800;&#44228;%20&#50672;&#44208;&#44277;&#49324;&#48320;&#44221;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mail3.hanmir.com/Y/attach/yhsjys/4190/MSOFFICE/HEXCEL/&#49892;&#54665;/&#49328;&#52636;&#44540;&#44144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5224;&#51452;\C\My%20Documents\&#51077;&#52272;&#48143;&#49892;&#54665;PJ-&#51089;&#50629;&#51473;\&#49436;&#50872;&#54868;&#47141;4,5&#54840;&#44592;&#53448;&#51656;\&#49436;&#50872;&#54868;&#47141;(&#51204;&#44592;)&#45236;&#50669;&#4943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109;1\&#45824;&#49888;&#47784;&#50500;&#46300;&#47548;\&#45824;&#49888;&#46041;&#54788;&#51109;\&#44592;&#49457;&#45236;&#50669;&#49436;(&#48276;&#52285;)\&#52832;&#44257;&#50689;&#45224;&#45348;&#50724;&#48716;&#44264;&#51116;&#47049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50689;\1010\1010\&#51077;&#52272;\&#51077;&#52272;&#50756;&#47308;&#44277;&#49324;\&#54868;&#52380;&#50864;&#54924;\&#51228;2&#50668;&#47049;&#44368;\&#50641;&#49472;\&#49444;&#44228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-&#54788;&#51109;&#44288;&#47532;\00-&#44049;\02-H-Land\KSN\&#44204;&#51201;\&#45224;&#50577;&#49884;&#51089;&#46041;010313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3685;&#49888;&#44277;&#49324;\&#45824;&#44396;&#51473;&#50521;&#48169;&#49569;\&#46041;&#44396;&#44288;&#47144;\&#49324;&#53469;&#51312;&#47749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YEON\99&#44208;&#49328;\&#45236;&#47928;&#49436;\&#44208;&#49328;\98&#44208;&#49328;\000_048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285;&#54840;\&#44032;&#51256;&#50728;&#51088;&#47308;&#49892;\&#44032;&#51256;&#50728;&#51088;&#47308;&#49892;\&#44608;&#51116;&#54889;\2006&#45380;%20&#51088;&#44552;&#51064;&#44228;&#50629;&#47924;\&#51088;&#44552;&#50629;&#47924;\&#44208;&#49328;&#50629;&#47924;\&#44208;&#49328;(2005&#45380;)\4&#48516;&#44592;&#44208;&#49328;\&#51088;&#44552;\2005&#45380;&#46020;\&#50724;&#54980;\&#50641;&#49472;\&#44208;&#49328;&#44288;&#47144;\&#44208;&#49328;&#44288;&#47144;\05&#45380;%20&#44208;&#49328;&#44228;&#51221;&#47749;&#49464;\2003&#45380;%20&#51088;&#47308;\&#48516;&#44592;,&#48152;&#44592;,&#45380;&#44208;&#49328;&#44288;&#47144;&#51088;&#47308;\2003&#45380;%202&#48516;&#44592;\&#51088;&#44552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hado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wner\LOCALS~1\Temp\&#51088;&#47308;\&#45800;&#44032;&#53076;&#46300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WINDOWS\Temporary%20Internet%20Files\Content.IE5\ALPITIWR\&#46020;&#49569;&#49688;&#49884;&#49444;\&#53804;&#52272;\Valv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mail3.hanmir.com/Y/attach/yhsjys/4190/&#52629;&#49328;&#47932;/&#45236;&#50669;&#49436;/&#46020;&#44553;&#51204;&#44592;&#45236;&#50669;/&#52629;&#49328;&#47932;/&#49884;&#44277;&#44228;&#54925;/&#44553;&#45257;&#53552;&#45328;/&#44148;&#49444;&#45236;&#50669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3\c\My%20Documents\&#44204;&#51201;\&#49688;&#50896;&#47588;&#53444;2&#44277;&#44396;(&#49436;&#54620;)\&#49688;&#50896;&#47588;&#53556;2&#44277;&#44396;(&#49548;&#48169;).xls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Temp/02-&#48376;&#48512;&#53804;&#51088;&#49849;&#51064;&#54788;&#54889;(&#44288;&#47196;&#47749;&#49464;-&#52572;&#49888;).xls" TargetMode="External"/><Relationship Id="rId1" Type="http://schemas.openxmlformats.org/officeDocument/2006/relationships/externalLinkPath" Target="/Temp/02-&#48376;&#48512;&#53804;&#51088;&#49849;&#51064;&#54788;&#54889;(&#44288;&#47196;&#47749;&#49464;-&#52572;&#49888;)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&#44608;&#50857;&#44592;\&#50641;&#49472;\GUMI4B2\&#51077;&#52272;&#45236;&#50669;\&#52380;&#50504;-~1\&#52380;&#50504;F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4608;&#54252;&#46020;&#47196;\&#44608;&#54252;&#53804;&#52272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Documents%20and%20Settings/&#50577;&#51652;&#54840;/&#48148;&#53461;%20&#54868;&#47732;/&#50724;&#49328;&#49464;&#44368;&#44221;&#51228;&#49457;&#48516;&#49437;/&#51204;&#44592;/&#50724;&#49328;&#51204;&#47141;&#50836;&#44552;_040316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daesung.com/&#49464;&#45320;&#51648;-09&#45380;/&#49324;&#50629;&#44228;&#54925;/09&#45380;&#49324;&#50629;&#44228;&#54925;/DOCUME~1/user/LOCALS~1/Temp/&#44032;&#46973;&#54620;&#46972;%20&#44221;&#51228;&#49457;&#48516;&#49437;.zip&#50640;%20&#45824;&#54620;%20&#51076;&#49884;%20&#46356;&#47113;&#53552;&#47532;%203/&#44032;&#46973;&#54620;&#46972;_&#54728;&#44032;&#50857;_060322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50689;\1010\1010\&#51077;&#52272;\&#51077;&#52272;&#50756;&#47308;&#44277;&#49324;\&#54868;&#52380;&#50864;&#54924;\&#45236;&#50669;&#49436;(&#52572;&#51333;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51088;&#47308;\&#44592;&#53440;1\906&#51221;&#44144;&#51109;&#45236;&#50669;.xls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~1/Owner/LOCALS~1/Temp/&#49324;&#50629;&#44228;&#54925;(2009.xls" TargetMode="External"/><Relationship Id="rId1" Type="http://schemas.openxmlformats.org/officeDocument/2006/relationships/externalLinkPath" Target="/DOCUME~1/Owner/LOCALS~1/Temp/&#49324;&#50629;&#44228;&#54925;(2009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user\LOCALS~1\Temp\200601\&#50676;&#48176;&#44288;&#50629;&#52404;&#54788;&#54889;&#54217;&#44032;\&#50676;&#49688;&#49569;&#44288;&#50629;&#52404;&#51077;&#52272;&#44288;&#4714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64;&#48124;\C\&#51312;&#50896;&#49345;\&#51109;&#54637;&#54620;&#49556;\&#44204;&#51201;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8152;&#50900;%20&#50676;&#48337;&#54633;%20stx\&#51089;&#50629;\&#47932;&#47049;\2005.06.15%20STX%20(&#51204;&#44592;)&#44277;&#49324;&#49444;&#44228;&#49436;%20r1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8152;&#50900;%20&#50676;&#48337;&#54633;%20stx\&#51089;&#50629;\&#47932;&#47049;\2005.06.27%20STX%20(&#51204;&#44592;)&#44277;&#49324;&#49444;&#44228;&#49436;%20r2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\&#50629;&#47924;\1.&#50900;&#48372;\2018&#45380;\1&#50900;\&#50900;&#48372;&#51089;&#49457;&#48143;&#51228;&#52636;\&#44053;&#47497;\&#44053;&#47497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-&#54788;&#51109;&#44288;&#47532;\00-&#44049;\02-H-Land\&#45224;&#50577;&#49884;&#51089;&#46041;010315UPDOWN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824;&#44396;&#51648;&#54616;&#52384;2-4&#44277;&#44396;\&#44592;&#49457;&#45236;&#50669;&#49436;\0211\&#44204;&#51201;&#49436;\&#54788;&#45824;&#44148;&#49444;\&#45824;&#44396;&#51648;&#54616;&#52384;(&#45812;&#54000;&#44396;&#44036;)\&#50864;&#47532;&#49436;&#47448;&#52384;\&#44277;&#47924;\&#45236;&#50669;&#44288;&#47144;\&#45824;&#49345;&#44552;&#50529;&#47564;%20&#51201;&#50857;\&#48708;&#47785;&#44400;&#48324;(&#49688;&#51221;)\97ES(&#44228;&#50557;&#50640;&#49436;12&#50900;31&#44620;&#51648;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WINDOWS\Temporary%20Internet%20Files\Content.IE5\ALPITIWR\&#46020;&#49569;&#49688;&#49884;&#49444;\&#53804;&#52272;\EQ%20list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457;&#44512;\&#51088;&#44552;&#51068;&#48372;\06&#45380;&#49380;&#53356;&#49324;&#50629;&#54016;\2006&#45380;\&#52572;&#51456;&#44396;&#50836;&#50557;\(3_1)&#44277;&#54732;&#51060;&#51061;&#44050;(05,06&#45380;)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064;&#49688;\&#44208;&#49328;&#50629;&#47924;\&#51088;&#44552;&#50629;&#47924;\&#44208;&#49328;&#50629;&#47924;\&#44208;&#49328;%20(2002&#45380;)\&#44208;&#49328;%20(02.4&#48516;&#44592;)\&#44208;&#49328;%2002.4&#48516;&#44592;%20(&#51648;&#44553;&#51060;&#51088;)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3469;&#46973;\D\&#54532;&#47196;&#51229;&#53944;\&#49884;&#54868;&#51312;&#47141;&#48156;&#51204;&#49548;(&#51077;&#52272;&#49444;&#44228;)\BM&#49328;&#52636;\&#49328;&#52636;&#45236;&#50669;&#49436;&#51089;&#49457;&#51648;&#52840;\PROGRAM%20FILES\MICROSOFT%20OFFICE\OFFICE\COMMONMO.XLA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80;&#53468;&#54788;\&#49888;&#50504;&#51088;&#47308;&#48169;\My%20Documents\2001&#51077;&#52272;\&#49884;&#54868;&#48176;&#49688;&#51648;\&#44204;&#51201;\Me\CHECK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56\c\&#44204;&#51201;\&#54840;&#45224;&#48373;&#49440;\&#53804;&#52272;&#48176;&#48512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824;&#44396;&#51648;&#54616;&#52384;2-4&#44277;&#44396;\&#44592;&#49457;&#45236;&#50669;&#49436;\0211\&#44277;&#50976;\&#49444;&#48708;&#44277;&#49324;&#44288;&#47144;\&#50500;&#49328;&#48376;&#44288;&#46041;\&#48376;&#44288;&#46041;&#49444;&#48708;&#44228;&#50557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109;1\&#45824;&#49888;&#47784;&#50500;&#46300;&#47548;\My%20Documents\&#51221;&#51221;&#49688;\&#44204;&#51201;&#47932;&#47049;\&#44592;&#53440;&#44277;&#49324;&#49328;&#52636;&#44540;&#44144;\&#48120;&#51452;%20&#50724;&#53664;&#53581;%20&#54252;&#49849;&#44277;&#51109;%20&#49888;&#52629;&#44277;&#49324;\&#45824;&#44396;&#45824;%20&#51105;&#52384;&#44204;&#51201;&#45824;&#48708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&#49688;&#49457;\1.&#44277;&#47924;&#44288;&#47144;\&#49892;&#54665;&#44288;&#47144;\&#49892;&#54665;&#45236;&#50669;(&#48320;-&#51077;03)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3468;&#50864;\&#50900;&#48372;7&#50900;\&#45796;&#53328;&#45796;&#53328;\&#49900;&#49324;&#48516;&#49437;&#54217;&#44032;\2001&#45380;\200107\&#52509;&#44292;\&#47560;&#49828;&#53552;&#53596;&#54540;&#47532;&#53944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공급량,판매량case"/>
      <sheetName val="공급량,판매량case_2045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명서"/>
      <sheetName val="검토서"/>
      <sheetName val="변경금액"/>
      <sheetName val="설계변경"/>
      <sheetName val="변경집계표"/>
      <sheetName val="물가변동2"/>
      <sheetName val="물가변동3"/>
      <sheetName val="물변(품셈)3"/>
      <sheetName val="물변(품셈)9"/>
      <sheetName val="동일(98.03)"/>
      <sheetName val="동일(98.09)"/>
      <sheetName val="신규(98.03)"/>
      <sheetName val="신규(98.09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tion"/>
      <sheetName val="Origin"/>
      <sheetName val="Report"/>
      <sheetName val="Report (백만)"/>
      <sheetName val="Report (변고정)"/>
      <sheetName val="Report (변고정) (백만)"/>
      <sheetName val="Report (변고정) (PT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PAINT현황"/>
      <sheetName val="입출재고현황"/>
      <sheetName val="입출재고현황 (2)"/>
      <sheetName val="발주투입(3-20)"/>
      <sheetName val="철판현황"/>
      <sheetName val="잉여자재"/>
      <sheetName val="입찰안"/>
      <sheetName val="기기공수"/>
      <sheetName val="일위대가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과조달"/>
      <sheetName val="laroux"/>
      <sheetName val="반포-봉암"/>
      <sheetName val="적격"/>
      <sheetName val="표지"/>
      <sheetName val="집계표"/>
      <sheetName val="변경예산안"/>
      <sheetName val="변경예산안 (2)"/>
      <sheetName val="차액보증"/>
      <sheetName val="기초코드"/>
      <sheetName val="조건표"/>
      <sheetName val="입찰안"/>
      <sheetName val="MAIN_TABLE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sw1"/>
      <sheetName val="EP0618"/>
      <sheetName val="수량산출"/>
      <sheetName val="ilch"/>
      <sheetName val="NOMUBI"/>
      <sheetName val="설계"/>
      <sheetName val="제출내역 (2)"/>
      <sheetName val="경비2내역"/>
      <sheetName val="주현(해보)"/>
      <sheetName val="주현(영광)"/>
      <sheetName val="신호기1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VXXX"/>
      <sheetName val="가격조사서"/>
      <sheetName val="단가조사서"/>
    </sheetNames>
    <sheetDataSet>
      <sheetData sheetId="0"/>
      <sheetData sheetId="1"/>
      <sheetData sheetId="2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사업계획총괄"/>
      <sheetName val="사업계획총괄(대비)"/>
      <sheetName val="2024년 실적"/>
      <sheetName val="2025년 계획"/>
      <sheetName val="중장기 계획(~2027년)"/>
      <sheetName val="실적 및 계획 리스트(2026년~2027년)"/>
      <sheetName val="계획 리스트(2028년~2029년)"/>
      <sheetName val="1. 계약실적(2023년)"/>
      <sheetName val="1. 피벗_계약실적(2023년)"/>
      <sheetName val="2. 공급실적(~2024.08)"/>
      <sheetName val="4. 이월량 및 공급전"/>
      <sheetName val="입주율 분석"/>
      <sheetName val="3-1) 입주율(2020.10~2021.12)"/>
      <sheetName val="3-2) 입주율(2021.4~2022.6)"/>
      <sheetName val="3-3) 입주율(2021.10~2022.12)"/>
      <sheetName val="3-3) 입주율(2022.1~2023.2)"/>
      <sheetName val="3-4) 입주율(2022.4~2023.6)"/>
      <sheetName val="3-5) 입주율(2022.10~2023.12)"/>
      <sheetName val="3-6) 입주율(2023.4~2024.3)"/>
      <sheetName val="3-7) 입주율(2023.10~2024.3)"/>
      <sheetName val="(240927) 2025년_사업계획_공동주택 (황광석)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1"/>
      <sheetName val="1. 25년 사업계획 총현황"/>
      <sheetName val="2-1 공급전(총괄)"/>
      <sheetName val="2-2 공급전 상세"/>
      <sheetName val="3-1 공급량(총괄)"/>
      <sheetName val="3-1 공급량(총괄) (2)"/>
      <sheetName val="3-2 공급량상세"/>
      <sheetName val="Sheet1"/>
      <sheetName val="4-1. 24년 기타경비 실적"/>
      <sheetName val="4-2. 25년 기타경비 계획"/>
      <sheetName val="4-3. 기타경비(중장기)"/>
      <sheetName val="5-1. 시설분담금_종합"/>
      <sheetName val="5-2. 시설분담금 상세"/>
      <sheetName val="참고1_공동주택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8.수선비"/>
      <sheetName val="118.세금과공과"/>
      <sheetName val="수선비"/>
      <sheetName val="2000추계"/>
      <sheetName val="118_세금과공과"/>
      <sheetName val="배서어음명세서"/>
      <sheetName val="미수수익명세서"/>
      <sheetName val="단기대여"/>
      <sheetName val="어음대여금"/>
      <sheetName val="선급금"/>
      <sheetName val="수불명세서"/>
      <sheetName val="타계정대체명세서"/>
      <sheetName val="지급어음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시장동향"/>
      <sheetName val="가스"/>
      <sheetName val="거래선별 기여이익"/>
      <sheetName val="채권유형별"/>
      <sheetName val="기여이익"/>
      <sheetName val="채권명세서"/>
      <sheetName val="추정원가"/>
      <sheetName val="선급비용"/>
      <sheetName val="21.보증금(전신전화가입권)"/>
      <sheetName val="24.보증금(전신전화가입권)"/>
      <sheetName val="보증금(전신전화가입권)"/>
      <sheetName val="INFORM"/>
      <sheetName val="213"/>
      <sheetName val="테크론"/>
      <sheetName val="부하(성남)"/>
      <sheetName val="7월EXIT안"/>
      <sheetName val="매장계약일자"/>
      <sheetName val="월별평균매출분석"/>
      <sheetName val="매장별매출"/>
      <sheetName val="매장수"/>
      <sheetName val="당초대비"/>
      <sheetName val="시뮬레이션판"/>
      <sheetName val="자금계획(PPT)"/>
      <sheetName val="자금계획"/>
      <sheetName val="10.재고종합"/>
      <sheetName val="회계매출및손익"/>
      <sheetName val="인건비예상"/>
      <sheetName val="인건비예상 (2)"/>
      <sheetName val="0.전체"/>
      <sheetName val="1.직영점"/>
      <sheetName val="2.대리상"/>
      <sheetName val="3.온라인"/>
      <sheetName val="4.신상품집계"/>
      <sheetName val="5.이월재고(직영)"/>
      <sheetName val="6.이월재고(온라인)"/>
      <sheetName val="7.재고(특판)"/>
      <sheetName val="8.신상품,입판재"/>
      <sheetName val="9.이월재고,판재"/>
      <sheetName val="11.손익,자금"/>
      <sheetName val="12.년도별요약"/>
      <sheetName val="본사직원"/>
      <sheetName val="매장직원"/>
      <sheetName val="사회보험료"/>
      <sheetName val="4월30일자"/>
      <sheetName val="1월31일재고"/>
      <sheetName val="12월말재고"/>
    </sheetNames>
    <sheetDataSet>
      <sheetData sheetId="0"/>
      <sheetData sheetId="1"/>
      <sheetData sheetId="2"/>
      <sheetData sheetId="3" refreshError="1"/>
      <sheetData sheetId="4">
        <row r="2">
          <cell r="A2" t="str">
            <v>배서어음명세서</v>
          </cell>
        </row>
      </sheetData>
      <sheetData sheetId="5">
        <row r="2">
          <cell r="A2" t="str">
            <v>배서어음명세서</v>
          </cell>
        </row>
      </sheetData>
      <sheetData sheetId="6">
        <row r="2">
          <cell r="A2" t="str">
            <v>배서어음명세서</v>
          </cell>
        </row>
      </sheetData>
      <sheetData sheetId="7">
        <row r="2">
          <cell r="A2" t="str">
            <v>배서어음명세서</v>
          </cell>
        </row>
      </sheetData>
      <sheetData sheetId="8">
        <row r="2">
          <cell r="A2" t="str">
            <v>배서어음명세서</v>
          </cell>
        </row>
      </sheetData>
      <sheetData sheetId="9">
        <row r="2">
          <cell r="A2" t="str">
            <v>배서어음명세서</v>
          </cell>
        </row>
      </sheetData>
      <sheetData sheetId="10">
        <row r="2">
          <cell r="A2" t="str">
            <v>배서어음명세서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2">
          <cell r="A2" t="str">
            <v>배서어음명세서</v>
          </cell>
        </row>
      </sheetData>
      <sheetData sheetId="35"/>
      <sheetData sheetId="36">
        <row r="2">
          <cell r="A2" t="str">
            <v>배서어음명세서</v>
          </cell>
        </row>
      </sheetData>
      <sheetData sheetId="37">
        <row r="2">
          <cell r="A2" t="str">
            <v>배서어음명세서</v>
          </cell>
        </row>
      </sheetData>
      <sheetData sheetId="38">
        <row r="2">
          <cell r="A2" t="str">
            <v>배서어음명세서</v>
          </cell>
        </row>
      </sheetData>
      <sheetData sheetId="39">
        <row r="2">
          <cell r="A2" t="str">
            <v>배서어음명세서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1. 22년 사업계획 총현황"/>
      <sheetName val="총괄표"/>
      <sheetName val="신규투자 표지"/>
      <sheetName val="3. 22년 신규투자 계획"/>
      <sheetName val="3-2. 21년 신규투자 실적"/>
      <sheetName val="3-3. 신규투자(중장기)"/>
      <sheetName val="4. 22년 기타경비 계획"/>
      <sheetName val="4-2. 21년 기타경비 실적"/>
      <sheetName val="4-3. 기타경비(중장기)"/>
      <sheetName val="판매실적(재고)"/>
      <sheetName val="판매비실적1"/>
      <sheetName val="판매비실적2"/>
      <sheetName val="판매비실적2-1"/>
      <sheetName val="판매계획(재고)"/>
      <sheetName val="판매계획(재고)_재무"/>
      <sheetName val="판매비계획1"/>
      <sheetName val="판매비계획2"/>
      <sheetName val="판매비계획2-1"/>
      <sheetName val="2023년판매계획(재고)"/>
      <sheetName val="2023년판매비계획1"/>
      <sheetName val="2023년판매비계획2"/>
      <sheetName val="2024년판매계획(재고)"/>
      <sheetName val="2024년판매비계획1"/>
      <sheetName val="2024년판매비계획2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61">
          <cell r="P161">
            <v>15.139200000000001</v>
          </cell>
        </row>
        <row r="162">
          <cell r="P162">
            <v>15.139200000000001</v>
          </cell>
        </row>
        <row r="163">
          <cell r="P163">
            <v>15.1092</v>
          </cell>
        </row>
        <row r="164">
          <cell r="P164">
            <v>15.1092</v>
          </cell>
        </row>
        <row r="165">
          <cell r="P165">
            <v>14.462899999999999</v>
          </cell>
          <cell r="Q165">
            <v>14.182</v>
          </cell>
          <cell r="R165">
            <v>14.2006</v>
          </cell>
        </row>
        <row r="166">
          <cell r="P166">
            <v>14.462899999999999</v>
          </cell>
          <cell r="Q166">
            <v>14.182</v>
          </cell>
          <cell r="R166">
            <v>14.2006</v>
          </cell>
        </row>
        <row r="167">
          <cell r="P167">
            <v>20.172899999999998</v>
          </cell>
        </row>
        <row r="168">
          <cell r="P168">
            <v>19.619399999999999</v>
          </cell>
          <cell r="Q168">
            <v>12.013500000000001</v>
          </cell>
          <cell r="R168">
            <v>18.502800000000001</v>
          </cell>
        </row>
        <row r="169">
          <cell r="P169">
            <v>16.766100000000002</v>
          </cell>
          <cell r="Q169">
            <v>15.784700000000001</v>
          </cell>
          <cell r="R169">
            <v>15.8415</v>
          </cell>
        </row>
        <row r="170">
          <cell r="P170">
            <v>18.282</v>
          </cell>
        </row>
        <row r="171">
          <cell r="P171">
            <v>18.282</v>
          </cell>
        </row>
        <row r="172">
          <cell r="P172">
            <v>17.375399999999999</v>
          </cell>
          <cell r="Q172">
            <v>17.375399999999999</v>
          </cell>
          <cell r="R172">
            <v>17.375399999999999</v>
          </cell>
        </row>
        <row r="173">
          <cell r="P173">
            <v>14.552099999999999</v>
          </cell>
          <cell r="Q173">
            <v>14.552099999999999</v>
          </cell>
          <cell r="R173">
            <v>14.552099999999999</v>
          </cell>
        </row>
        <row r="174">
          <cell r="P174">
            <v>17.375399999999999</v>
          </cell>
          <cell r="Q174">
            <v>17.375399999999999</v>
          </cell>
          <cell r="R174">
            <v>17.375399999999999</v>
          </cell>
        </row>
        <row r="175">
          <cell r="P175">
            <v>19.905899999999999</v>
          </cell>
        </row>
        <row r="176">
          <cell r="P176">
            <v>15.913500000000001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  <sheetName val="ST"/>
      <sheetName val="#REF"/>
      <sheetName val="Disclaimer"/>
      <sheetName val="Sheet1"/>
      <sheetName val="Sheet2"/>
      <sheetName val="Sheet3"/>
      <sheetName val="회계"/>
      <sheetName val="CFO"/>
      <sheetName val="금융"/>
      <sheetName val="기획"/>
      <sheetName val="구매자재"/>
      <sheetName val="운영부문장"/>
      <sheetName val="판관비_월별"/>
      <sheetName val="Actual_Source_Data"/>
      <sheetName val="Summary"/>
      <sheetName val="Actual_Kor"/>
      <sheetName val="Flash_report"/>
      <sheetName val="Budget_Kor"/>
      <sheetName val="Budget_Source"/>
      <sheetName val="Data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  <sheetName val="Sheet2"/>
      <sheetName val="Sheet3"/>
      <sheetName val="ST"/>
      <sheetName val="#REF"/>
      <sheetName val="Disclaimer"/>
      <sheetName val="Sheet1"/>
      <sheetName val="Actual_Source_Data"/>
      <sheetName val="Summary"/>
      <sheetName val="Actual_Kor"/>
      <sheetName val="Flash_report"/>
      <sheetName val="Budget_Kor"/>
      <sheetName val="Budget_Source"/>
      <sheetName val="Data02"/>
      <sheetName val="FX_Int"/>
      <sheetName val="Budget_US"/>
      <sheetName val="Actual_US"/>
      <sheetName val="Budget_KR"/>
      <sheetName val="Actual_KR"/>
      <sheetName val="Actual_Source"/>
      <sheetName val="Income_report"/>
      <sheetName val="Operation_report"/>
      <sheetName val="Monthly Details"/>
      <sheetName val="Inv "/>
      <sheetName val="Ref"/>
      <sheetName val="재무상태표"/>
      <sheetName val="손익계산서"/>
      <sheetName val="상품입고집계"/>
      <sheetName val="Mapping 기준"/>
      <sheetName val="기준정보"/>
      <sheetName val="세부구분"/>
      <sheetName val="JA"/>
      <sheetName val="Krw"/>
      <sheetName val="Monthly_Details"/>
      <sheetName val="Inv_"/>
      <sheetName val="A"/>
      <sheetName val="해외_HPS"/>
      <sheetName val="2005년"/>
      <sheetName val="시산표"/>
      <sheetName val="Laying"/>
      <sheetName val="Rearing"/>
      <sheetName val="US Codes"/>
      <sheetName val="함수기준"/>
      <sheetName val="만기"/>
      <sheetName val="?????"/>
      <sheetName val="Adj(Actual_Summary_July)"/>
      <sheetName val="CF_Current_Detail(July)"/>
      <sheetName val="ARP"/>
      <sheetName val="매출및수금종류표"/>
      <sheetName val="표지"/>
      <sheetName val="목차"/>
      <sheetName val="1"/>
      <sheetName val="1.목록총괄"/>
      <sheetName val="2"/>
      <sheetName val="2.담보총괄"/>
      <sheetName val="3"/>
      <sheetName val="3-1.부동산 담보물 배분표"/>
      <sheetName val="3-2. 매출채권 담보물 배분표"/>
      <sheetName val="4"/>
      <sheetName val="4담보목록"/>
      <sheetName val="5"/>
      <sheetName val="5. 회생채권 총괄"/>
      <sheetName val="6"/>
      <sheetName val="6채권목록"/>
      <sheetName val="7"/>
      <sheetName val="7조세총괄"/>
      <sheetName val="8"/>
      <sheetName val="8.조세목록"/>
      <sheetName val="9"/>
      <sheetName val="9주주총괄 "/>
      <sheetName val="10"/>
      <sheetName val="10주주목록"/>
      <sheetName val="11"/>
      <sheetName val="12"/>
      <sheetName val="13"/>
      <sheetName val="&lt;=여기까지 출력제본"/>
      <sheetName val="회생담보권 원본데이타 입력"/>
      <sheetName val="회생채권 원본데이타 입력"/>
      <sheetName val="조세 원본데이타 입력"/>
      <sheetName val="주주 원본데이타 입력"/>
      <sheetName val="97년추정손익계산서"/>
      <sheetName val="TRADING PROFIT"/>
      <sheetName val="Market C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DATA"/>
      <sheetName val="DATA1"/>
      <sheetName val="MOTOR"/>
      <sheetName val="중기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1">
          <cell r="B61">
            <v>2.5</v>
          </cell>
        </row>
      </sheetData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1 (2)"/>
      <sheetName val="실행내역"/>
      <sheetName val="입출재고현황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3"/>
      <sheetName val="Module4"/>
      <sheetName val="1"/>
      <sheetName val="도움말"/>
      <sheetName val="사용설명"/>
      <sheetName val="기타경비산출근거"/>
      <sheetName val="갑지"/>
      <sheetName val="원가계산기준"/>
      <sheetName val="갑지인쇄"/>
      <sheetName val="공사비내역서"/>
      <sheetName val="일반자재단가"/>
      <sheetName val="중기가격"/>
      <sheetName val="중기산출"/>
      <sheetName val="노임단가"/>
      <sheetName val="시중노임인쇄"/>
      <sheetName val="Dialog2"/>
      <sheetName val="TW"/>
      <sheetName val="BW"/>
      <sheetName val="UW"/>
      <sheetName val="GJ"/>
      <sheetName val="PJ"/>
      <sheetName val="BD"/>
      <sheetName val="CODE"/>
      <sheetName val="Dialog4"/>
      <sheetName val="Dialog5"/>
      <sheetName val="Dialog6"/>
      <sheetName val="Dialog7"/>
      <sheetName val="Dialog8"/>
      <sheetName val="Dialog9"/>
      <sheetName val="Dialog10"/>
      <sheetName val="목록보기"/>
      <sheetName val="초기"/>
      <sheetName val="토공목차"/>
      <sheetName val="법면목차"/>
      <sheetName val="배수공목차"/>
      <sheetName val="구조물공목차"/>
      <sheetName val="포장공목차"/>
      <sheetName val="부대공목차"/>
      <sheetName val="토공"/>
      <sheetName val="법면"/>
      <sheetName val="배수공1"/>
      <sheetName val="포장공"/>
      <sheetName val="구조물공"/>
      <sheetName val="부대공"/>
      <sheetName val="중기일위대가"/>
      <sheetName val="중기일위대가목록인쇄"/>
      <sheetName val="예정공정표"/>
      <sheetName val="일위대가표"/>
      <sheetName val="약품공급2"/>
      <sheetName val="약품설비"/>
      <sheetName val="건설내역"/>
      <sheetName val="6호기"/>
      <sheetName val="프랜트면허"/>
      <sheetName val="토목주소"/>
      <sheetName val="인건-측정"/>
      <sheetName val="SG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현금흐름표"/>
      <sheetName val="YOEMAGUM"/>
      <sheetName val="A1"/>
      <sheetName val="Adj(Actual_Summary_July)"/>
      <sheetName val="ST"/>
      <sheetName val="dummy"/>
      <sheetName val="CF_Current_Detail(July)"/>
      <sheetName val="공통"/>
      <sheetName val="상품입고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대비표"/>
      <sheetName val="기기리스트"/>
      <sheetName val="축산 기기리스트"/>
    </sheetNames>
    <sheetDataSet>
      <sheetData sheetId="0"/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약품공급2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내역"/>
      <sheetName val="도급내역집계"/>
      <sheetName val="표지"/>
      <sheetName val="간지"/>
      <sheetName val="실행품의"/>
      <sheetName val="견적계획서"/>
      <sheetName val="견적조건"/>
      <sheetName val="문학개요"/>
      <sheetName val="선학개요 "/>
      <sheetName val="금액결정"/>
      <sheetName val="전체품의"/>
      <sheetName val="문학품의"/>
      <sheetName val="선학품의 "/>
      <sheetName val="문총괄"/>
      <sheetName val="선총괄"/>
      <sheetName val="자재매입"/>
      <sheetName val="총괄대비"/>
      <sheetName val="문공종"/>
      <sheetName val="선공종"/>
      <sheetName val="문학간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표지"/>
      <sheetName val="설계표지1"/>
      <sheetName val="산출내역서"/>
      <sheetName val="순공사비산출"/>
      <sheetName val="원가계산서"/>
      <sheetName val="제잡비"/>
      <sheetName val="일위대가총괄"/>
      <sheetName val="일위대가표"/>
      <sheetName val="수량총괄"/>
      <sheetName val="수량계산서"/>
      <sheetName val="물가대비표"/>
      <sheetName val="중량집계"/>
      <sheetName val="Sheet15"/>
      <sheetName val="Sheet16"/>
      <sheetName val="~MF0973"/>
      <sheetName val="입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현금시재표"/>
      <sheetName val="예금명세서"/>
      <sheetName val="외화예금"/>
      <sheetName val="유가증권명세서"/>
      <sheetName val="채권집계"/>
      <sheetName val="재고자산명세서"/>
      <sheetName val="장기성예금"/>
      <sheetName val="투자유가증권"/>
      <sheetName val="출자금명세서"/>
      <sheetName val="관계회사주식명세서"/>
      <sheetName val="유전개발자금"/>
      <sheetName val="특정현금과예금"/>
      <sheetName val="관계회사장기대여금"/>
      <sheetName val="전신전화가입권"/>
      <sheetName val="임차보증금"/>
      <sheetName val="영업보증금"/>
      <sheetName val="단체퇴직명세서"/>
      <sheetName val="장기대여금"/>
      <sheetName val="기타가입권"/>
      <sheetName val="유형고정자산"/>
      <sheetName val="무형고정자산"/>
      <sheetName val="연구개발비"/>
      <sheetName val="채무명세집계"/>
      <sheetName val="단기채무명세서"/>
      <sheetName val="단기채무명세서 (2)"/>
      <sheetName val="매입채무명세서"/>
      <sheetName val="미지급법인세"/>
      <sheetName val="사채명세서"/>
      <sheetName val="장기채무명세서"/>
      <sheetName val="충당금명세"/>
      <sheetName val="자본금"/>
      <sheetName val="자본잉여금"/>
      <sheetName val="이익잉여금"/>
      <sheetName val="매출액"/>
      <sheetName val="매출원가명세서"/>
      <sheetName val="제조원가명세서"/>
      <sheetName val="정비원가명세서"/>
      <sheetName val="공사원가명세서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보험가입자산"/>
      <sheetName val="담보자산"/>
      <sheetName val="타계정대체명세서"/>
      <sheetName val="선급비용집계표"/>
      <sheetName val="수출입보증금"/>
      <sheetName val="국민연금퇴직전환금"/>
      <sheetName val="25.보증금(임차보증금외)"/>
      <sheetName val="48.자본잉여금"/>
      <sheetName val="41.미지급법인세"/>
      <sheetName val="24.보증금(전신전화가입권)"/>
      <sheetName val="000_051"/>
      <sheetName val="단기채무명세서_(2)"/>
      <sheetName val="25_보증금(임차보증금외)"/>
      <sheetName val="48_자본잉여금"/>
      <sheetName val="41_미지급법인세"/>
      <sheetName val="24_보증금(전신전화가입권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SDD Revised"/>
      <sheetName val="KIS"/>
      <sheetName val="Capital"/>
      <sheetName val="Industry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1.</v>
          </cell>
          <cell r="B6" t="str">
            <v>Fiscal year  :</v>
          </cell>
          <cell r="D6">
            <v>6452</v>
          </cell>
          <cell r="E6">
            <v>1986</v>
          </cell>
          <cell r="F6">
            <v>1987</v>
          </cell>
          <cell r="G6">
            <v>1988</v>
          </cell>
          <cell r="H6">
            <v>1989</v>
          </cell>
          <cell r="I6">
            <v>1990</v>
          </cell>
          <cell r="J6">
            <v>1991</v>
          </cell>
          <cell r="K6">
            <v>1992</v>
          </cell>
          <cell r="L6">
            <v>1993</v>
          </cell>
          <cell r="M6">
            <v>1994</v>
          </cell>
          <cell r="N6">
            <v>1995</v>
          </cell>
          <cell r="O6">
            <v>1996</v>
          </cell>
          <cell r="P6">
            <v>1997</v>
          </cell>
          <cell r="Q6">
            <v>1998</v>
          </cell>
          <cell r="R6">
            <v>1999</v>
          </cell>
        </row>
        <row r="7">
          <cell r="E7">
            <v>34699</v>
          </cell>
          <cell r="F7">
            <v>34699</v>
          </cell>
          <cell r="G7">
            <v>34699</v>
          </cell>
          <cell r="H7">
            <v>34699</v>
          </cell>
          <cell r="I7">
            <v>34699</v>
          </cell>
          <cell r="J7">
            <v>34699</v>
          </cell>
          <cell r="K7">
            <v>34699</v>
          </cell>
          <cell r="L7">
            <v>34699</v>
          </cell>
          <cell r="M7">
            <v>34699</v>
          </cell>
          <cell r="N7">
            <v>34699</v>
          </cell>
          <cell r="O7">
            <v>34699</v>
          </cell>
          <cell r="P7">
            <v>34699</v>
          </cell>
          <cell r="Q7">
            <v>34699</v>
          </cell>
          <cell r="R7">
            <v>34699</v>
          </cell>
        </row>
        <row r="9">
          <cell r="A9" t="str">
            <v>2.</v>
          </cell>
          <cell r="B9" t="str">
            <v># of Shrs outstanding</v>
          </cell>
          <cell r="D9" t="str">
            <v>Total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11.4114</v>
          </cell>
          <cell r="K9">
            <v>12.6114</v>
          </cell>
          <cell r="L9">
            <v>12.6114</v>
          </cell>
          <cell r="M9">
            <v>14.4114</v>
          </cell>
          <cell r="N9">
            <v>23.748036999999997</v>
          </cell>
          <cell r="O9">
            <v>28.696854999999996</v>
          </cell>
          <cell r="P9">
            <v>28.696854999999996</v>
          </cell>
          <cell r="Q9">
            <v>28.696854999999996</v>
          </cell>
          <cell r="R9">
            <v>28.696854999999996</v>
          </cell>
        </row>
        <row r="10">
          <cell r="B10" t="str">
            <v>at FY-end ( M shrs ) :</v>
          </cell>
          <cell r="D10" t="str">
            <v>Comm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10.080400000000001</v>
          </cell>
          <cell r="K10">
            <v>11.2804</v>
          </cell>
          <cell r="L10">
            <v>11.2804</v>
          </cell>
          <cell r="M10">
            <v>13.080400000000001</v>
          </cell>
          <cell r="N10">
            <v>22.286518999999998</v>
          </cell>
          <cell r="O10">
            <v>27.095177999999997</v>
          </cell>
          <cell r="P10">
            <v>27.095177999999997</v>
          </cell>
          <cell r="Q10">
            <v>27.095177999999997</v>
          </cell>
          <cell r="R10">
            <v>27.095177999999997</v>
          </cell>
        </row>
        <row r="11">
          <cell r="D11" t="str">
            <v>Pref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1.331</v>
          </cell>
          <cell r="K11">
            <v>1.331</v>
          </cell>
          <cell r="L11">
            <v>1.331</v>
          </cell>
          <cell r="M11">
            <v>1.331</v>
          </cell>
          <cell r="N11">
            <v>1.4615179999999999</v>
          </cell>
          <cell r="O11">
            <v>1.6016769999999998</v>
          </cell>
          <cell r="P11">
            <v>1.6016769999999998</v>
          </cell>
          <cell r="Q11">
            <v>1.6016769999999998</v>
          </cell>
          <cell r="R11">
            <v>1.6016769999999998</v>
          </cell>
        </row>
        <row r="36">
          <cell r="A36" t="str">
            <v>11.</v>
          </cell>
          <cell r="B36" t="str">
            <v>Wtd avg # of shrs</v>
          </cell>
          <cell r="D36" t="str">
            <v>Total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12.190509766945382</v>
          </cell>
          <cell r="L36">
            <v>12.6114</v>
          </cell>
          <cell r="M36">
            <v>13.39584422700587</v>
          </cell>
          <cell r="N36">
            <v>21.612782206772359</v>
          </cell>
          <cell r="O36">
            <v>28.183322475747634</v>
          </cell>
          <cell r="P36">
            <v>28.696854999999996</v>
          </cell>
          <cell r="Q36" t="e">
            <v>#VALUE!</v>
          </cell>
          <cell r="R36">
            <v>28.696854999999996</v>
          </cell>
        </row>
        <row r="37">
          <cell r="B37" t="str">
            <v>for FY  ( M shrs ) :</v>
          </cell>
          <cell r="D37" t="str">
            <v>Comm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10.859509766945383</v>
          </cell>
          <cell r="L37">
            <v>11.2804</v>
          </cell>
          <cell r="M37">
            <v>12.064844227005871</v>
          </cell>
          <cell r="N37">
            <v>20.151675225950441</v>
          </cell>
          <cell r="O37">
            <v>26.581714368898318</v>
          </cell>
          <cell r="P37">
            <v>27.095177999999997</v>
          </cell>
          <cell r="Q37" t="e">
            <v>#VALUE!</v>
          </cell>
          <cell r="R37">
            <v>27.095177999999997</v>
          </cell>
        </row>
        <row r="38">
          <cell r="D38" t="str">
            <v>Pref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1.331</v>
          </cell>
          <cell r="L38">
            <v>1.331</v>
          </cell>
          <cell r="M38">
            <v>1.331</v>
          </cell>
          <cell r="N38">
            <v>1.4611069808219177</v>
          </cell>
          <cell r="O38">
            <v>1.6016081068493149</v>
          </cell>
          <cell r="P38">
            <v>1.6016769999999998</v>
          </cell>
          <cell r="Q38">
            <v>1.6016769999999998</v>
          </cell>
          <cell r="R38">
            <v>1.6016769999999998</v>
          </cell>
        </row>
        <row r="40">
          <cell r="A40" t="str">
            <v>12.</v>
          </cell>
          <cell r="B40" t="str">
            <v>Adj wtd avg # of shrs</v>
          </cell>
          <cell r="D40" t="str">
            <v>Total</v>
          </cell>
          <cell r="E40" t="e">
            <v>#DIV/0!</v>
          </cell>
          <cell r="F40" t="e">
            <v>#DIV/0!</v>
          </cell>
          <cell r="G40" t="e">
            <v>#DIV/0!</v>
          </cell>
          <cell r="H40" t="e">
            <v>#DIV/0!</v>
          </cell>
          <cell r="I40" t="e">
            <v>#DIV/0!</v>
          </cell>
          <cell r="J40" t="e">
            <v>#VALUE!</v>
          </cell>
          <cell r="K40" t="e">
            <v>#VALUE!</v>
          </cell>
          <cell r="L40" t="e">
            <v>#VALUE!</v>
          </cell>
          <cell r="M40" t="e">
            <v>#VALUE!</v>
          </cell>
          <cell r="N40" t="e">
            <v>#VALUE!</v>
          </cell>
          <cell r="O40" t="e">
            <v>#VALUE!</v>
          </cell>
          <cell r="P40" t="e">
            <v>#VALUE!</v>
          </cell>
          <cell r="Q40" t="e">
            <v>#VALUE!</v>
          </cell>
          <cell r="R40">
            <v>28.696854999999996</v>
          </cell>
        </row>
        <row r="41">
          <cell r="B41" t="str">
            <v>for FY  ( M shrs ) :</v>
          </cell>
          <cell r="D41" t="str">
            <v>Comm</v>
          </cell>
          <cell r="E41" t="e">
            <v>#DIV/0!</v>
          </cell>
          <cell r="F41" t="e">
            <v>#DIV/0!</v>
          </cell>
          <cell r="G41" t="e">
            <v>#DIV/0!</v>
          </cell>
          <cell r="H41" t="e">
            <v>#DIV/0!</v>
          </cell>
          <cell r="I41" t="e">
            <v>#DIV/0!</v>
          </cell>
          <cell r="J41" t="e">
            <v>#VALUE!</v>
          </cell>
          <cell r="K41" t="e">
            <v>#VALUE!</v>
          </cell>
          <cell r="L41" t="e">
            <v>#VALUE!</v>
          </cell>
          <cell r="M41" t="e">
            <v>#VALUE!</v>
          </cell>
          <cell r="N41" t="e">
            <v>#VALUE!</v>
          </cell>
          <cell r="O41" t="e">
            <v>#VALUE!</v>
          </cell>
          <cell r="P41" t="e">
            <v>#VALUE!</v>
          </cell>
          <cell r="Q41" t="e">
            <v>#VALUE!</v>
          </cell>
          <cell r="R41">
            <v>27.095177999999997</v>
          </cell>
        </row>
        <row r="42">
          <cell r="D42" t="str">
            <v>Pref</v>
          </cell>
          <cell r="E42" t="e">
            <v>#DIV/0!</v>
          </cell>
          <cell r="F42" t="e">
            <v>#DIV/0!</v>
          </cell>
          <cell r="G42" t="e">
            <v>#DIV/0!</v>
          </cell>
          <cell r="H42" t="e">
            <v>#DIV/0!</v>
          </cell>
          <cell r="I42" t="e">
            <v>#DIV/0!</v>
          </cell>
          <cell r="J42">
            <v>0</v>
          </cell>
          <cell r="K42">
            <v>1.600661559958892</v>
          </cell>
          <cell r="L42">
            <v>1.600661559958892</v>
          </cell>
          <cell r="M42">
            <v>1.600661559958892</v>
          </cell>
          <cell r="N42">
            <v>1.601028619927845</v>
          </cell>
          <cell r="O42">
            <v>1.6016081068493149</v>
          </cell>
          <cell r="P42">
            <v>1.6016769999999998</v>
          </cell>
          <cell r="Q42">
            <v>1.6016769999999998</v>
          </cell>
          <cell r="R42">
            <v>1.6016769999999998</v>
          </cell>
        </row>
        <row r="48">
          <cell r="A48" t="str">
            <v>14.</v>
          </cell>
          <cell r="B48" t="str">
            <v># of shrs issuable</v>
          </cell>
          <cell r="D48" t="str">
            <v>Total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B49" t="str">
            <v>( M shrs ) :</v>
          </cell>
          <cell r="D49" t="str">
            <v>Comm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D50" t="str">
            <v>Pref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2">
          <cell r="A52" t="str">
            <v>15.</v>
          </cell>
          <cell r="B52" t="str">
            <v>Additative expenses</v>
          </cell>
          <cell r="D52" t="str">
            <v>Total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B53" t="str">
            <v xml:space="preserve"> ( Wm )</v>
          </cell>
          <cell r="D53" t="str">
            <v>Comm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D54" t="str">
            <v>Pref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6">
          <cell r="A56" t="str">
            <v>16.</v>
          </cell>
          <cell r="B56" t="str">
            <v>Adj wtd avg # of shrs fully</v>
          </cell>
          <cell r="D56" t="str">
            <v>Total</v>
          </cell>
          <cell r="E56" t="e">
            <v>#DIV/0!</v>
          </cell>
          <cell r="F56" t="e">
            <v>#DIV/0!</v>
          </cell>
          <cell r="G56" t="e">
            <v>#DIV/0!</v>
          </cell>
          <cell r="H56" t="e">
            <v>#DIV/0!</v>
          </cell>
          <cell r="I56" t="e">
            <v>#DIV/0!</v>
          </cell>
          <cell r="J56" t="e">
            <v>#VALUE!</v>
          </cell>
          <cell r="K56" t="e">
            <v>#VALUE!</v>
          </cell>
          <cell r="L56" t="e">
            <v>#VALUE!</v>
          </cell>
          <cell r="M56" t="e">
            <v>#VALUE!</v>
          </cell>
          <cell r="N56" t="e">
            <v>#VALUE!</v>
          </cell>
          <cell r="O56" t="e">
            <v>#VALUE!</v>
          </cell>
          <cell r="P56" t="e">
            <v>#VALUE!</v>
          </cell>
          <cell r="Q56" t="e">
            <v>#VALUE!</v>
          </cell>
          <cell r="R56">
            <v>28.696854999999996</v>
          </cell>
        </row>
        <row r="57">
          <cell r="B57" t="str">
            <v>diluted for FY  ( M shrs ) :</v>
          </cell>
          <cell r="D57" t="str">
            <v>Comm</v>
          </cell>
          <cell r="E57" t="e">
            <v>#DIV/0!</v>
          </cell>
          <cell r="F57" t="e">
            <v>#DIV/0!</v>
          </cell>
          <cell r="G57" t="e">
            <v>#DIV/0!</v>
          </cell>
          <cell r="H57" t="e">
            <v>#DIV/0!</v>
          </cell>
          <cell r="I57" t="e">
            <v>#DIV/0!</v>
          </cell>
          <cell r="J57" t="e">
            <v>#VALUE!</v>
          </cell>
          <cell r="K57" t="e">
            <v>#VALUE!</v>
          </cell>
          <cell r="L57" t="e">
            <v>#VALUE!</v>
          </cell>
          <cell r="M57" t="e">
            <v>#VALUE!</v>
          </cell>
          <cell r="N57" t="e">
            <v>#VALUE!</v>
          </cell>
          <cell r="O57" t="e">
            <v>#VALUE!</v>
          </cell>
          <cell r="P57" t="e">
            <v>#VALUE!</v>
          </cell>
          <cell r="Q57" t="e">
            <v>#VALUE!</v>
          </cell>
          <cell r="R57">
            <v>27.095177999999997</v>
          </cell>
        </row>
        <row r="58">
          <cell r="D58" t="str">
            <v>Pref</v>
          </cell>
          <cell r="E58" t="e">
            <v>#DIV/0!</v>
          </cell>
          <cell r="F58" t="e">
            <v>#DIV/0!</v>
          </cell>
          <cell r="G58" t="e">
            <v>#DIV/0!</v>
          </cell>
          <cell r="H58" t="e">
            <v>#DIV/0!</v>
          </cell>
          <cell r="I58" t="e">
            <v>#DIV/0!</v>
          </cell>
          <cell r="J58">
            <v>0</v>
          </cell>
          <cell r="K58">
            <v>1.600661559958892</v>
          </cell>
          <cell r="L58">
            <v>1.600661559958892</v>
          </cell>
          <cell r="M58">
            <v>1.600661559958892</v>
          </cell>
          <cell r="N58">
            <v>1.601028619927845</v>
          </cell>
          <cell r="O58">
            <v>1.6016081068493149</v>
          </cell>
          <cell r="P58">
            <v>1.6016769999999998</v>
          </cell>
          <cell r="Q58">
            <v>1.6016769999999998</v>
          </cell>
          <cell r="R58">
            <v>1.6016769999999998</v>
          </cell>
        </row>
      </sheetData>
      <sheetData sheetId="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공정표"/>
      <sheetName val="공사총괄"/>
      <sheetName val="공사비예산서(토목분)"/>
      <sheetName val="일위목록"/>
      <sheetName val="일위대가"/>
      <sheetName val="부표총괄"/>
      <sheetName val="부표장비"/>
      <sheetName val="물가대비표"/>
      <sheetName val="평균L,C,K,E값 산출표"/>
      <sheetName val="부표장비 (2)"/>
      <sheetName val="노임단가"/>
      <sheetName val="입출재고현황 (2)"/>
      <sheetName val="BQ"/>
      <sheetName val="AC-01-원본"/>
      <sheetName val="Sheet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영업수익"/>
      <sheetName val="자산처분익"/>
      <sheetName val="영업비용"/>
      <sheetName val="자산처분손"/>
      <sheetName val="특별손익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수정"/>
      <sheetName val="대차수정"/>
      <sheetName val="대차비교"/>
      <sheetName val="시산수정"/>
      <sheetName val="시산수정(예비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료"/>
      <sheetName val="기성검사보고서"/>
      <sheetName val="기성청구서"/>
      <sheetName val="기성내역서(갑)"/>
      <sheetName val="전기집계"/>
      <sheetName val="고압공사총원가계산서_종합"/>
      <sheetName val="원가(2)"/>
      <sheetName val="2"/>
      <sheetName val="원가(12)"/>
      <sheetName val="12"/>
      <sheetName val="원가(28)"/>
      <sheetName val="28"/>
      <sheetName val="원가(29)"/>
      <sheetName val="29"/>
      <sheetName val="원가(30)"/>
      <sheetName val="30"/>
      <sheetName val="원가(32)"/>
      <sheetName val="32"/>
      <sheetName val="원가(33)"/>
      <sheetName val="33"/>
      <sheetName val="원가(34)"/>
      <sheetName val="34"/>
      <sheetName val="원가(35)"/>
      <sheetName val="35"/>
      <sheetName val="원가(36)"/>
      <sheetName val="36"/>
      <sheetName val="원가(37)"/>
      <sheetName val="37"/>
      <sheetName val="DESIGN"/>
      <sheetName val="10월 고압단가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assump"/>
      <sheetName val="drawdown"/>
      <sheetName val="esc"/>
      <sheetName val="output"/>
      <sheetName val="revenue"/>
      <sheetName val="fixedexp"/>
      <sheetName val="varexp"/>
      <sheetName val="debt"/>
      <sheetName val="debtmonth"/>
      <sheetName val="Syndication"/>
      <sheetName val="refina"/>
      <sheetName val="deprec"/>
      <sheetName val="reserves"/>
      <sheetName val="cash"/>
      <sheetName val="semi"/>
      <sheetName val="profit"/>
      <sheetName val="bal"/>
      <sheetName val="new invest"/>
      <sheetName val="return"/>
      <sheetName val="print"/>
    </sheetNames>
    <sheetDataSet>
      <sheetData sheetId="0" refreshError="1">
        <row r="24">
          <cell r="D24" t="str">
            <v>KIECO MODEL Updated (Feb. 2001)</v>
          </cell>
        </row>
        <row r="25">
          <cell r="D25" t="str">
            <v>Won in thousands</v>
          </cell>
        </row>
        <row r="27">
          <cell r="D27" t="str">
            <v>1,800MW</v>
          </cell>
        </row>
        <row r="28">
          <cell r="D28" t="str">
            <v>Year End: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품셈표"/>
      <sheetName val="노임계산"/>
      <sheetName val="노임단가"/>
      <sheetName val="6.품셈표"/>
      <sheetName val="일위대가표"/>
      <sheetName val="단가 (2)"/>
      <sheetName val="설계예시"/>
      <sheetName val="강교(Sub)"/>
      <sheetName val="철콘견적"/>
      <sheetName val="일반토공견적"/>
      <sheetName val="NEYOK"/>
      <sheetName val="내역서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  <sheetName val="Sheet2"/>
      <sheetName val="내역(전체)"/>
    </sheetNames>
    <sheetDataSet>
      <sheetData sheetId="0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페이징 집계"/>
      <sheetName val="2 전화집계"/>
      <sheetName val="3. 소방 집계"/>
      <sheetName val="4. 접지"/>
      <sheetName val="페이징 배관배선"/>
      <sheetName val="전화 배관배선"/>
      <sheetName val="소방"/>
      <sheetName val="접지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비교견적 (2)"/>
      <sheetName val="비교견적"/>
      <sheetName val="1단계"/>
      <sheetName val="2단계"/>
      <sheetName val="견적리스트"/>
      <sheetName val="견적가"/>
      <sheetName val="기본"/>
      <sheetName val="일위대가"/>
      <sheetName val="페이징 배관배선"/>
      <sheetName val="일위대가목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내역(전체)"/>
      <sheetName val="plan&amp;section of foundation"/>
      <sheetName val="design criteria"/>
      <sheetName val="기초공"/>
      <sheetName val="기둥(원형)"/>
      <sheetName val="BID"/>
      <sheetName val="내역서"/>
      <sheetName val="공사내역"/>
      <sheetName val="입출재고현황 (2)"/>
      <sheetName val="TEL"/>
      <sheetName val="공사개요"/>
      <sheetName val="부대내역"/>
      <sheetName val="공사비예산서(토목분)"/>
      <sheetName val="터파기및재료"/>
      <sheetName val="단가조건"/>
      <sheetName val="설 계"/>
      <sheetName val="1.우편집중내역서"/>
      <sheetName val="공사비집계"/>
      <sheetName val="일위대가목차"/>
      <sheetName val="일위대가"/>
      <sheetName val="수량산출서"/>
      <sheetName val="1.설계조건"/>
      <sheetName val="Y-WORK"/>
      <sheetName val="을"/>
      <sheetName val="DATA"/>
      <sheetName val="데이타"/>
      <sheetName val="RAHMEN"/>
      <sheetName val="1단계"/>
      <sheetName val="경비2내역"/>
      <sheetName val="대비"/>
      <sheetName val="견적서"/>
      <sheetName val="8공구투찰내역서"/>
      <sheetName val="Sheet2"/>
      <sheetName val="DATE"/>
      <sheetName val="내역"/>
      <sheetName val="6.OUTPUT"/>
      <sheetName val="조명시설"/>
      <sheetName val="표지"/>
      <sheetName val="예산M12A"/>
      <sheetName val="보도경계블럭"/>
      <sheetName val="Total"/>
      <sheetName val="말뚝물량"/>
      <sheetName val="type-F"/>
      <sheetName val="hvac내역서(제어동)"/>
      <sheetName val="지급자재"/>
      <sheetName val="98지급계획"/>
      <sheetName val="부대대비"/>
      <sheetName val="냉연집계"/>
      <sheetName val="전기일위대가"/>
      <sheetName val="말뚝지지력산정"/>
      <sheetName val="계약내역서"/>
      <sheetName val="코드표"/>
      <sheetName val="출력표"/>
      <sheetName val="단면가정"/>
      <sheetName val="설계조건"/>
      <sheetName val="Macro1"/>
      <sheetName val="Proposal"/>
      <sheetName val="#REF"/>
      <sheetName val="2000년1차"/>
      <sheetName val="combi(wall)"/>
      <sheetName val="working load at the btm ft."/>
      <sheetName val="member design"/>
      <sheetName val="영업.일"/>
      <sheetName val="단면검토"/>
      <sheetName val="2.대외공문"/>
      <sheetName val="적용환율"/>
      <sheetName val="PUMP"/>
      <sheetName val="노원열병합  건축공사기성내역서"/>
      <sheetName val="Customer Databas"/>
      <sheetName val="협조전"/>
      <sheetName val="BSD (2)"/>
      <sheetName val="정보매체A동"/>
      <sheetName val="ITB COST"/>
      <sheetName val="총괄"/>
      <sheetName val="EKOG10건축"/>
      <sheetName val="인사자료총집계"/>
      <sheetName val="수량산출"/>
      <sheetName val="시멘트"/>
      <sheetName val="전체"/>
      <sheetName val="조명율표"/>
      <sheetName val="예산변경사항"/>
      <sheetName val="산출기준(파견전산실)"/>
      <sheetName val="본부소개"/>
      <sheetName val="청천내"/>
      <sheetName val="2000.05"/>
      <sheetName val="단위중기"/>
      <sheetName val="BSD _2_"/>
      <sheetName val="M1"/>
      <sheetName val="실행철강하도"/>
      <sheetName val="BOQ건축"/>
      <sheetName val="Sheet3"/>
      <sheetName val="토목주소"/>
      <sheetName val="프랜트면허"/>
      <sheetName val="Sheet1"/>
      <sheetName val="품종별-이름"/>
      <sheetName val="soil bearing check"/>
      <sheetName val="기계내역"/>
      <sheetName val="일위(설)"/>
      <sheetName val="인건비"/>
      <sheetName val="단가비교표"/>
      <sheetName val="품셈표"/>
      <sheetName val="설계명세서"/>
      <sheetName val="내역서(총)"/>
      <sheetName val="구미4단2"/>
      <sheetName val="EACT10"/>
      <sheetName val="물가"/>
      <sheetName val="Budget 2004(DW)"/>
      <sheetName val="첨"/>
      <sheetName val="9-1차이내역"/>
      <sheetName val="공사개요설명서"/>
      <sheetName val="건축공사"/>
      <sheetName val="사용성검토"/>
      <sheetName val="첨부파일"/>
      <sheetName val="ABUT수량-A1"/>
      <sheetName val="집계표"/>
      <sheetName val="6PILE  (돌출)"/>
      <sheetName val="결과조달"/>
      <sheetName val="CODE"/>
      <sheetName val="노임단가"/>
      <sheetName val="1련박스"/>
      <sheetName val="안정검토"/>
      <sheetName val="토목내역"/>
      <sheetName val="현장"/>
      <sheetName val="골조시행"/>
      <sheetName val="현금"/>
      <sheetName val="건축원가계산서"/>
      <sheetName val="공통(20-91)"/>
      <sheetName val="토공(완충)"/>
      <sheetName val="포장공"/>
      <sheetName val="토공"/>
      <sheetName val="기계"/>
      <sheetName val="UNIT"/>
      <sheetName val="정부노임단가"/>
      <sheetName val="실행"/>
      <sheetName val="일위대가표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I.설계조건"/>
      <sheetName val="토공계산서(부체도로)"/>
      <sheetName val="날개벽"/>
      <sheetName val="전기"/>
      <sheetName val="대로근거"/>
      <sheetName val="중로근거"/>
      <sheetName val="가격조사서"/>
      <sheetName val="간접경상비"/>
      <sheetName val="CAPVC"/>
      <sheetName val="토목"/>
      <sheetName val="연결임시"/>
      <sheetName val="2002상반기노임기준"/>
      <sheetName val="옹벽"/>
      <sheetName val="8.PILE  (돌출)"/>
      <sheetName val="입력값"/>
      <sheetName val="간선계산"/>
      <sheetName val="MOTOR"/>
      <sheetName val="일위목록"/>
      <sheetName val="공통가설"/>
      <sheetName val="부재예실"/>
      <sheetName val="SUMMARY(S)"/>
      <sheetName val="대대터널 설계서"/>
      <sheetName val="내역표지"/>
      <sheetName val="담장산출"/>
      <sheetName val="공틀공사"/>
      <sheetName val="퇴비산출근거"/>
      <sheetName val="99노임기준"/>
      <sheetName val="분석"/>
      <sheetName val="세부내역"/>
      <sheetName val="날개벽(좌,우=45도,75도)"/>
      <sheetName val="깨기"/>
      <sheetName val="첨부1"/>
      <sheetName val="설비내역서"/>
      <sheetName val="건축내역서"/>
      <sheetName val="전기내역서"/>
      <sheetName val="PROJECT BRIEF(EX.NEW)"/>
      <sheetName val="Sheet4"/>
      <sheetName val="재무가정"/>
      <sheetName val="hvac(제어동)"/>
      <sheetName val="노임이"/>
      <sheetName val="음료실행"/>
      <sheetName val="가정급수관"/>
      <sheetName val="FRT_O"/>
      <sheetName val="FAB_I"/>
      <sheetName val="보일러"/>
      <sheetName val="배수통관(좌)"/>
      <sheetName val="11"/>
      <sheetName val="포장복구집계"/>
      <sheetName val="접속 SLAB,BRACKET 설계"/>
      <sheetName val="견적조건"/>
      <sheetName val="관리비"/>
      <sheetName val="TB-내역서"/>
      <sheetName val="교각1"/>
      <sheetName val="자재단가비교표"/>
      <sheetName val="교량전기"/>
      <sheetName val="토적1"/>
      <sheetName val="내역(입찰)"/>
      <sheetName val="danga"/>
      <sheetName val="ilch"/>
      <sheetName val="1호맨홀토공"/>
      <sheetName val="12용지"/>
      <sheetName val="Main"/>
      <sheetName val="토적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갑지"/>
      <sheetName val="갑지(추정)"/>
      <sheetName val="설계예산"/>
      <sheetName val="건축"/>
      <sheetName val="공문"/>
      <sheetName val="소업1교"/>
      <sheetName val="보온자재단가표"/>
      <sheetName val="조경"/>
      <sheetName val="Front"/>
      <sheetName val="wall"/>
      <sheetName val="DESCRIPTION"/>
      <sheetName val="6호기"/>
      <sheetName val="예산M5A"/>
      <sheetName val="VENDOR LIST"/>
      <sheetName val="공통비"/>
      <sheetName val="안정계산"/>
      <sheetName val="단가조사"/>
      <sheetName val="기성내역서표지"/>
      <sheetName val="통합"/>
      <sheetName val="간접재료비산출표-27-30"/>
      <sheetName val="COVER"/>
      <sheetName val="UR2-Calculation"/>
      <sheetName val="3본사"/>
      <sheetName val="추가예산"/>
      <sheetName val=" 견적서"/>
      <sheetName val="CAL"/>
      <sheetName val="1. 설계조건 2.단면가정 3. 하중계산"/>
      <sheetName val="DATA 입력란"/>
      <sheetName val="건축내역"/>
      <sheetName val="산출근거"/>
      <sheetName val="중간부"/>
      <sheetName val="교통시설 표지판"/>
      <sheetName val="유출부"/>
      <sheetName val="000000"/>
      <sheetName val="DATA1"/>
      <sheetName val="WORK"/>
      <sheetName val="공종별 집계"/>
      <sheetName val="도"/>
      <sheetName val="재집"/>
      <sheetName val="직재"/>
      <sheetName val="상가지급현황"/>
      <sheetName val="J直材4"/>
      <sheetName val="갑지1"/>
      <sheetName val="FB25JN"/>
      <sheetName val="소운반"/>
      <sheetName val="분류작업"/>
      <sheetName val="Sheet5"/>
      <sheetName val="1-1"/>
      <sheetName val="전체도급"/>
      <sheetName val="AP1"/>
      <sheetName val="96수출"/>
      <sheetName val="1.설계기준"/>
      <sheetName val="BREAKDOWN(철거설치)"/>
      <sheetName val="유림골조"/>
      <sheetName val="4)유동표"/>
      <sheetName val="설계"/>
      <sheetName val="맨홀수량산출"/>
      <sheetName val="가감수량"/>
      <sheetName val="가로등기초"/>
      <sheetName val="재1"/>
      <sheetName val="공내역"/>
      <sheetName val="INPUT"/>
      <sheetName val="설비원가"/>
      <sheetName val="일위대가(계측기설치)"/>
      <sheetName val="전신환매도율"/>
      <sheetName val="소비자가"/>
      <sheetName val="SLAB&quot;1&quot;"/>
      <sheetName val="COPING"/>
      <sheetName val="단가조사서"/>
      <sheetName val="요율"/>
      <sheetName val="소방"/>
      <sheetName val="산출"/>
      <sheetName val="기초일위"/>
      <sheetName val="시설일위"/>
      <sheetName val="조명일위"/>
      <sheetName val="A"/>
      <sheetName val="단가표"/>
      <sheetName val="노무비단가"/>
      <sheetName val="3차토목내역"/>
      <sheetName val="진주방향"/>
      <sheetName val="깨기집계"/>
      <sheetName val="3련 BOX"/>
      <sheetName val="개소별수량산출"/>
      <sheetName val="내역서 "/>
      <sheetName val="예산서"/>
      <sheetName val="금액내역서"/>
      <sheetName val="단가비교"/>
      <sheetName val="OD"/>
      <sheetName val="Sheet14"/>
      <sheetName val="Sheet13"/>
      <sheetName val="T13(P68~72,78)"/>
      <sheetName val="TEST1"/>
      <sheetName val="변경내역대비표(2)"/>
      <sheetName val="CTEMCOST"/>
      <sheetName val="정렬"/>
      <sheetName val="직노"/>
      <sheetName val="산출내역서집계표"/>
      <sheetName val="바닥판"/>
      <sheetName val="입력DATA"/>
      <sheetName val="방송(체육관)"/>
      <sheetName val="투찰금액"/>
      <sheetName val="토사(PE)"/>
      <sheetName val="단면치수"/>
      <sheetName val="Piping(Methanol)"/>
      <sheetName val="견적가 검토"/>
      <sheetName val="FUND"/>
      <sheetName val="영업소실적"/>
      <sheetName val="eq_data"/>
      <sheetName val="차수"/>
      <sheetName val="품종코드"/>
      <sheetName val="기초자료"/>
      <sheetName val="견적집계표"/>
      <sheetName val="손익(10월)"/>
      <sheetName val="항목"/>
      <sheetName val="투자양식"/>
      <sheetName val="96까지"/>
      <sheetName val="97년"/>
      <sheetName val="98이후"/>
      <sheetName val="woo(mac)"/>
      <sheetName val="단면 (2)"/>
      <sheetName val="h-013211-2"/>
      <sheetName val="J"/>
      <sheetName val="진행 DATA (2)"/>
      <sheetName val="MAT_N048"/>
      <sheetName val="sheets"/>
      <sheetName val="날개벽수량표"/>
      <sheetName val="AABS내역"/>
      <sheetName val="TYPE별집계"/>
      <sheetName val="ERECTION"/>
      <sheetName val="POL설치공정"/>
      <sheetName val="공정양식"/>
      <sheetName val="crude.SLAB RE-bar"/>
      <sheetName val="건축(충일분)"/>
      <sheetName val="가시설단위수량"/>
      <sheetName val="통계연보"/>
      <sheetName val="예가표"/>
      <sheetName val="신규일위대가"/>
      <sheetName val="계약내력"/>
      <sheetName val="F4-F7"/>
      <sheetName val="직접기초설계"/>
      <sheetName val="모델링"/>
      <sheetName val="자재단가"/>
      <sheetName val="기본입력표"/>
      <sheetName val="경비_원본"/>
      <sheetName val="변화치수"/>
      <sheetName val="Discount Group"/>
      <sheetName val="2000전체분"/>
      <sheetName val="노무단가"/>
      <sheetName val="본장"/>
      <sheetName val="냉천부속동"/>
      <sheetName val="노임"/>
      <sheetName val="약품설비"/>
      <sheetName val="도대하도변경최종정산조경"/>
      <sheetName val="원가계산서구조조정"/>
      <sheetName val="98수문일위"/>
      <sheetName val="바.한일양산"/>
      <sheetName val="케이블및전선관규격표"/>
      <sheetName val="6-2차"/>
      <sheetName val="N賃率-職"/>
      <sheetName val="방식총괄"/>
      <sheetName val="Ⅴ-2.공종별내역"/>
      <sheetName val="기본DATA"/>
      <sheetName val="ITEM"/>
      <sheetName val="Sheet1 (2)"/>
      <sheetName val="삼성전기"/>
      <sheetName val="123"/>
      <sheetName val="SG"/>
      <sheetName val="환률"/>
      <sheetName val="FOB발"/>
      <sheetName val="중기사용료"/>
      <sheetName val="대전21토목내역서"/>
      <sheetName val="9GNG운반"/>
      <sheetName val="FAB별"/>
      <sheetName val="개요"/>
      <sheetName val="총괄표"/>
      <sheetName val="기본"/>
      <sheetName val="물가자료"/>
      <sheetName val="Material Specification"/>
      <sheetName val="5사남"/>
      <sheetName val="6공구(당초)"/>
      <sheetName val="한강운반비"/>
      <sheetName val="전기공사"/>
      <sheetName val="건축공사 집계표"/>
      <sheetName val="골조"/>
      <sheetName val="GAEYO"/>
      <sheetName val="부표총괄"/>
      <sheetName val="품셈1-17"/>
      <sheetName val="설계예시"/>
      <sheetName val="물량표"/>
      <sheetName val="A-4"/>
      <sheetName val="별표집계"/>
      <sheetName val="플랜트 설치"/>
      <sheetName val="Ext. Stone-P"/>
      <sheetName val="수목데이타 "/>
      <sheetName val="수목표준대가"/>
      <sheetName val="원형1호맨홀토공수량"/>
      <sheetName val="간접비"/>
      <sheetName val="#34 CIVL_Original"/>
      <sheetName val="TOEC"/>
      <sheetName val="INDIRECT"/>
      <sheetName val="calculation-1"/>
      <sheetName val="MCC제원"/>
      <sheetName val="c_balju"/>
      <sheetName val="설계내역서"/>
      <sheetName val="오억미만"/>
      <sheetName val="가공비"/>
      <sheetName val="SIL98"/>
      <sheetName val="일위_파일"/>
      <sheetName val="준검 내역서"/>
      <sheetName val="수량산출서 갑지"/>
      <sheetName val="주식"/>
      <sheetName val="일위대가목록"/>
      <sheetName val="하중계산"/>
      <sheetName val="3차준공"/>
      <sheetName val="예산내역서"/>
      <sheetName val="설계예산서"/>
      <sheetName val="총계"/>
      <sheetName val="수문일1"/>
      <sheetName val="dtxl"/>
      <sheetName val="토 적 표"/>
      <sheetName val="투찰"/>
      <sheetName val="참조"/>
      <sheetName val="P&amp;L01-02GR"/>
      <sheetName val="국내총괄"/>
      <sheetName val="좌측"/>
      <sheetName val="45,46"/>
      <sheetName val="3.하중산정4.지지력"/>
      <sheetName val="PO-BOQ"/>
      <sheetName val="TYPE-A"/>
      <sheetName val="토공(우물통,기타) "/>
      <sheetName val="약품공급2"/>
      <sheetName val="가시설(TYPE-A)"/>
      <sheetName val="1호맨홀가감수량"/>
      <sheetName val="1-1평균터파기고(1)"/>
      <sheetName val="1호맨홀수량산출"/>
      <sheetName val="CRUDE RE-bar"/>
      <sheetName val="Macro(전선)"/>
      <sheetName val="일위대가표(DEEP)"/>
      <sheetName val="여과지동"/>
      <sheetName val="일집"/>
      <sheetName val="일위"/>
      <sheetName val="1"/>
      <sheetName val="부대공자재집계표"/>
      <sheetName val="unitpric"/>
      <sheetName val="과거교육훈련비"/>
      <sheetName val="기기리스트"/>
      <sheetName val="입력"/>
      <sheetName val="배수공 시멘트 및 골재량 산출"/>
      <sheetName val="CAT_5"/>
      <sheetName val="날개벽(TYPE3)"/>
      <sheetName val="전기BOX내역서"/>
      <sheetName val="내역서2안"/>
      <sheetName val="경비"/>
      <sheetName val="LinerWt"/>
      <sheetName val="NS"/>
      <sheetName val="1근거"/>
      <sheetName val="계산근거"/>
      <sheetName val="조도계산서 (도서)"/>
      <sheetName val="수로교총재료집계"/>
      <sheetName val="중기(목록)"/>
      <sheetName val="일위대가(목록)"/>
      <sheetName val="산근(목록)"/>
      <sheetName val="노무비"/>
      <sheetName val="재료비"/>
      <sheetName val="횡날개수집"/>
      <sheetName val="기둥(하중)"/>
      <sheetName val="실행견적"/>
      <sheetName val="빈"/>
      <sheetName val="기초목"/>
      <sheetName val="비용"/>
      <sheetName val="1월"/>
      <sheetName val="VXXXXXXX"/>
      <sheetName val="#3E1_GCR"/>
      <sheetName val="2.하자처리현황(CS)"/>
      <sheetName val="총 원가계산"/>
      <sheetName val="설계서"/>
      <sheetName val="APT내역"/>
      <sheetName val="3BL공동구 수량"/>
      <sheetName val="CAUDIT"/>
      <sheetName val="물량표S"/>
      <sheetName val="품의"/>
      <sheetName val="교각계산"/>
      <sheetName val="일위대가표 (2)"/>
      <sheetName val="2003.4.1."/>
      <sheetName val="토적계산"/>
      <sheetName val="목차"/>
      <sheetName val="흄관기초"/>
      <sheetName val="보통예금"/>
      <sheetName val="신규품셈목차"/>
      <sheetName val="시중노임단가"/>
      <sheetName val="2F 회의실견적(5_14 일대)"/>
      <sheetName val="실행내역"/>
      <sheetName val="JUCKEYK"/>
      <sheetName val="전체현황"/>
      <sheetName val="금액집계"/>
      <sheetName val="총집계표"/>
      <sheetName val="시설물"/>
      <sheetName val="신우"/>
      <sheetName val="설계개요"/>
      <sheetName val="2000년 임금추정"/>
      <sheetName val="정읍농소"/>
      <sheetName val="자재표"/>
      <sheetName val="자판실행"/>
      <sheetName val="토공정보"/>
      <sheetName val="기성내역서"/>
      <sheetName val="수량 산출서(당초)"/>
      <sheetName val="외자배분"/>
      <sheetName val="횡배수관토공수량"/>
      <sheetName val="지주목시비량산출서"/>
      <sheetName val="초기화면"/>
      <sheetName val="이름정의"/>
      <sheetName val="저판(버림100)"/>
      <sheetName val="원가계산서(건축)"/>
      <sheetName val="TAIHAN"/>
      <sheetName val="AILC004"/>
      <sheetName val="9811"/>
      <sheetName val="9509"/>
      <sheetName val="수량명세서"/>
      <sheetName val="손익분석"/>
      <sheetName val="TABLE"/>
      <sheetName val="soil_bearing_check"/>
      <sheetName val="노원열병합__건축공사기성내역서"/>
      <sheetName val="대림경상68억"/>
      <sheetName val="일위대가(1)"/>
      <sheetName val="SLAB근거-1"/>
      <sheetName val="서울산업대(토)"/>
      <sheetName val="보고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인천제철"/>
      <sheetName val="FAX"/>
      <sheetName val="연습"/>
      <sheetName val="보험료"/>
      <sheetName val="부전지"/>
      <sheetName val="규격"/>
      <sheetName val="2공구산출내역"/>
      <sheetName val="UNSTEADY"/>
      <sheetName val="기초코드"/>
      <sheetName val="외주가공"/>
      <sheetName val="배수내역 (2)"/>
      <sheetName val="대운산출"/>
      <sheetName val="Regenerator  Concrete Structure"/>
      <sheetName val="예산M2"/>
      <sheetName val="기초대가"/>
      <sheetName val="예산"/>
      <sheetName val="2.고용보험료산출근거"/>
      <sheetName val="단위세대"/>
      <sheetName val="원가"/>
      <sheetName val="공사비산출내역"/>
      <sheetName val="품의서"/>
      <sheetName val="공통가설공사"/>
      <sheetName val="36+45-113-18+19+20I"/>
      <sheetName val="역T형"/>
      <sheetName val="3.현장배치"/>
      <sheetName val="업무분장"/>
      <sheetName val="변경비교-을"/>
      <sheetName val="Breakdown"/>
      <sheetName val="3.공통공사대비"/>
      <sheetName val="건축집계표"/>
      <sheetName val="라멘수량"/>
      <sheetName val="증감대비"/>
      <sheetName val="내역서(당초변경)"/>
      <sheetName val="KMT물량"/>
      <sheetName val="960318-1"/>
      <sheetName val="자단"/>
      <sheetName val="인공산출"/>
      <sheetName val="11.자재단가"/>
      <sheetName val="회사기본자료"/>
      <sheetName val="기성2"/>
      <sheetName val="옹벽1"/>
      <sheetName val="페이징 배관배선"/>
      <sheetName val="자료"/>
      <sheetName val="REINF."/>
      <sheetName val="CHECK1"/>
      <sheetName val="측구터파기공수량집계"/>
      <sheetName val="구조물터파기수량집계"/>
      <sheetName val="LOADS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가로등내역서"/>
      <sheetName val="주관사업"/>
      <sheetName val="20관리비율"/>
      <sheetName val="guard(mac)"/>
      <sheetName val="실정보고내역서"/>
      <sheetName val="예정공정표(도급)"/>
      <sheetName val="작성"/>
      <sheetName val="수원공공사비"/>
      <sheetName val="INPUT(덕도방향-시점)"/>
      <sheetName val="F-Assump"/>
      <sheetName val="산출근거1"/>
      <sheetName val="2.단면가정"/>
      <sheetName val="4.말뚝설계"/>
      <sheetName val="간지"/>
      <sheetName val="계수시트"/>
      <sheetName val="원가계산서"/>
      <sheetName val="구성비"/>
      <sheetName val="준공조서갑지"/>
      <sheetName val="설산1.나"/>
      <sheetName val="본사S"/>
      <sheetName val="당진1,2호기전선관설치및접지4차공사내역서-을지"/>
      <sheetName val="내역을"/>
      <sheetName val="취수탑"/>
      <sheetName val="ins"/>
      <sheetName val="중동공구"/>
      <sheetName val="재료집계"/>
      <sheetName val="unit 4"/>
      <sheetName val="Sheet10"/>
      <sheetName val="설비"/>
      <sheetName val="도급정산"/>
      <sheetName val="1.관로"/>
      <sheetName val="구분자"/>
      <sheetName val="견적내역서"/>
      <sheetName val="산출내역서"/>
      <sheetName val="VOR"/>
      <sheetName val="노임,재료비"/>
      <sheetName val="직접비"/>
      <sheetName val="하조서"/>
      <sheetName val="견적대비표"/>
      <sheetName val="과천MAIN"/>
      <sheetName val="MM"/>
      <sheetName val="주소(한문)"/>
      <sheetName val="갑지(비계타입)"/>
      <sheetName val="평가데이터"/>
      <sheetName val="토공사"/>
      <sheetName val="6.일위대가"/>
      <sheetName val="NEYOK"/>
      <sheetName val="표  지"/>
      <sheetName val="날개벽(시점좌측)"/>
      <sheetName val="DI1"/>
      <sheetName val="Basic Input"/>
      <sheetName val="Notes "/>
      <sheetName val="Bank charge"/>
      <sheetName val="Notes_"/>
      <sheetName val="Bank_charge"/>
      <sheetName val="CLAUSE"/>
      <sheetName val="서울대규장각(가시설흙막이)"/>
      <sheetName val="간접"/>
      <sheetName val="총괄내역서"/>
      <sheetName val="물량"/>
      <sheetName val="현장배치"/>
      <sheetName val="전 기"/>
      <sheetName val="견적3"/>
      <sheetName val="매크로"/>
      <sheetName val="CON포장수량"/>
      <sheetName val="ACUNIT"/>
      <sheetName val="CONUNIT"/>
      <sheetName val="외주비"/>
      <sheetName val="base"/>
      <sheetName val="빙설"/>
      <sheetName val="내역(2000년)"/>
      <sheetName val="단가"/>
      <sheetName val="적용기준"/>
      <sheetName val="토공집계"/>
      <sheetName val="직접재료비"/>
      <sheetName val="Pengalaman Per"/>
      <sheetName val="FIRE FIGHTING"/>
      <sheetName val="단중표"/>
      <sheetName val="BEND LOSS"/>
      <sheetName val="기계내역서"/>
      <sheetName val="1.설계설명서"/>
      <sheetName val="Load Total"/>
      <sheetName val="유화"/>
      <sheetName val="시행후면적"/>
      <sheetName val="기안"/>
      <sheetName val="경산"/>
      <sheetName val="조도"/>
      <sheetName val="교통대책내역"/>
      <sheetName val="옥내아파트(전기)"/>
      <sheetName val="설비2차"/>
      <sheetName val="준공평가"/>
      <sheetName val="2-3.V.D일위"/>
      <sheetName val="정산입력"/>
      <sheetName val="기별수량산출서"/>
      <sheetName val="설계서(7)"/>
      <sheetName val="Sheet15"/>
      <sheetName val="10월"/>
      <sheetName val="HP1AMLIST"/>
      <sheetName val="분양가"/>
      <sheetName val="대가단최종"/>
      <sheetName val="70%"/>
      <sheetName val="분양금할인"/>
      <sheetName val="ML"/>
      <sheetName val="SUMMARY"/>
      <sheetName val="PAINT"/>
      <sheetName val="실행대비"/>
      <sheetName val="강북라우터"/>
      <sheetName val="일위대가(가설)"/>
      <sheetName val="업체별기성내역"/>
      <sheetName val="1차 내역서"/>
      <sheetName val="단면"/>
      <sheetName val="국영"/>
      <sheetName val="A3.공사비 검토"/>
      <sheetName val="C3.토목_옹벽"/>
      <sheetName val="3.건축(현장안)"/>
      <sheetName val="2.냉난방설비공사"/>
      <sheetName val="단위중량"/>
      <sheetName val="배수내역"/>
      <sheetName val="패널"/>
      <sheetName val="실행내역서 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BOX전기내역"/>
      <sheetName val="수량산출내역1115"/>
      <sheetName val="일반공사"/>
      <sheetName val="소일위대가코드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가도공"/>
      <sheetName val="비교1"/>
      <sheetName val="완성차 미수금"/>
      <sheetName val="Mc1"/>
      <sheetName val="외주"/>
      <sheetName val="개산공사비"/>
      <sheetName val="이토변실(A3-LINE)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수입"/>
      <sheetName val="원형맨홀수량"/>
      <sheetName val="부하계산서"/>
      <sheetName val="현황산출서"/>
      <sheetName val="설계내역(2001)"/>
      <sheetName val="공조기휀"/>
      <sheetName val="AHU집계"/>
      <sheetName val="공조기"/>
      <sheetName val="7.PILE  (돌출)"/>
      <sheetName val="사통"/>
      <sheetName val="SLAB"/>
      <sheetName val="견적의뢰"/>
      <sheetName val="DS-최종"/>
      <sheetName val="POL6차-PIPING"/>
      <sheetName val="유통망계획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현장관리비"/>
      <sheetName val="콤보박스와 리스트박스의 연결"/>
      <sheetName val="식재가격"/>
      <sheetName val="식재총괄"/>
      <sheetName val="식재인부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품셈TABLE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기계설비-물가변동"/>
      <sheetName val="보할공정"/>
      <sheetName val="남양주댠가표"/>
      <sheetName val="굴화내역"/>
      <sheetName val="전선 및 전선관"/>
      <sheetName val="기계설비"/>
      <sheetName val="공용정보"/>
      <sheetName val="BUS제원1"/>
      <sheetName val="운반"/>
      <sheetName val="성남여성복지내역"/>
      <sheetName val="SILICATE"/>
      <sheetName val="정산내역서"/>
      <sheetName val="소요자재"/>
      <sheetName val="b_balju_cho"/>
      <sheetName val="4-10"/>
      <sheetName val="확약서"/>
      <sheetName val="하부철근수량"/>
      <sheetName val="흥양2교토공집계표"/>
      <sheetName val="증감내역서"/>
      <sheetName val="설계서을"/>
      <sheetName val="BOX수량"/>
      <sheetName val="출력은 금물"/>
      <sheetName val="S1,3"/>
      <sheetName val="빌딩 안내"/>
      <sheetName val="구조물검사요청서"/>
      <sheetName val="관리대장"/>
      <sheetName val="시설물일위"/>
      <sheetName val="BCK3672"/>
      <sheetName val="전통건설"/>
      <sheetName val="도봉2지구"/>
      <sheetName val="집행현황"/>
      <sheetName val="예총"/>
      <sheetName val="토공촕괄"/>
      <sheetName val="예산대비"/>
      <sheetName val="한수원"/>
      <sheetName val="J형측구단위수량"/>
      <sheetName val="터널조도"/>
      <sheetName val="견적총괄표"/>
      <sheetName val="SKETCH"/>
      <sheetName val="PROCESS"/>
      <sheetName val="집수정수량총집계"/>
      <sheetName val="crude_SLAB_RE-bar"/>
      <sheetName val="설직재-1"/>
      <sheetName val="제-노임"/>
      <sheetName val="I一般比"/>
      <sheetName val="품셈"/>
      <sheetName val=" 자재물류센터 증축공사 중 철근콘크리트 공사.xlsx"/>
      <sheetName val="기초설계"/>
      <sheetName val="라멘"/>
      <sheetName val="inter"/>
      <sheetName val="화전내"/>
      <sheetName val="static.cal"/>
      <sheetName val="Sheet9"/>
      <sheetName val="단가일람표"/>
      <sheetName val="시행예산"/>
      <sheetName val="우수"/>
      <sheetName val="Galaxy 소비자가격표"/>
      <sheetName val="목표"/>
      <sheetName val="영업-1"/>
      <sheetName val="LEGEND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토량1-1"/>
      <sheetName val="견적시담(송포2공구)"/>
      <sheetName val="내역서(기성청구)"/>
      <sheetName val="장외반출및폐기물 "/>
      <sheetName val="EE-PROP"/>
      <sheetName val="접속슬래브"/>
      <sheetName val="역T형교대-2수량"/>
      <sheetName val="ENE-CAL 1"/>
      <sheetName val="가설공사"/>
      <sheetName val="산근목록"/>
      <sheetName val="PIPE"/>
      <sheetName val="변수2"/>
      <sheetName val="저항"/>
      <sheetName val="신기1-LINE별연장"/>
      <sheetName val="골재산출"/>
      <sheetName val="COVER-P"/>
      <sheetName val="단가목록"/>
      <sheetName val="원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/>
      <sheetData sheetId="928"/>
      <sheetData sheetId="929" refreshError="1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갑지"/>
      <sheetName val="관람석제출"/>
      <sheetName val="차액보증"/>
    </sheetNames>
    <sheetDataSet>
      <sheetData sheetId="0" refreshError="1"/>
      <sheetData sheetId="1" refreshError="1"/>
      <sheetData sheetId="2">
        <row r="4">
          <cell r="A4" t="str">
            <v xml:space="preserve"> 1. 장비설치공사</v>
          </cell>
        </row>
      </sheetData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**01"/>
      <sheetName val="RING WALL"/>
      <sheetName val="RE-BAR"/>
      <sheetName val="B.M."/>
      <sheetName val="WIND"/>
      <sheetName val="관람석제출"/>
      <sheetName val="CAL"/>
      <sheetName val="2F 회의실견적(5_14 일대)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"/>
      <sheetName val="RING WALL"/>
      <sheetName val="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 원가계산"/>
      <sheetName val="내역8"/>
      <sheetName val="WORK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3"/>
      <sheetName val="Module4"/>
      <sheetName val="1"/>
      <sheetName val="도움말"/>
      <sheetName val="사용설명"/>
      <sheetName val="기타경비산출근거"/>
      <sheetName val="갑지"/>
      <sheetName val="원가계산기준"/>
      <sheetName val="갑지인쇄"/>
      <sheetName val="공사비내역서"/>
      <sheetName val="일반자재단가"/>
      <sheetName val="중기가격"/>
      <sheetName val="중기산출"/>
      <sheetName val="노임단가"/>
      <sheetName val="시중노임인쇄"/>
      <sheetName val="Dialog2"/>
      <sheetName val="TW"/>
      <sheetName val="BW"/>
      <sheetName val="UW"/>
      <sheetName val="GJ"/>
      <sheetName val="PJ"/>
      <sheetName val="BD"/>
      <sheetName val="CODE"/>
      <sheetName val="Dialog4"/>
      <sheetName val="Dialog5"/>
      <sheetName val="Dialog6"/>
      <sheetName val="Dialog7"/>
      <sheetName val="Dialog8"/>
      <sheetName val="Dialog9"/>
      <sheetName val="Dialog10"/>
      <sheetName val="목록보기"/>
      <sheetName val="초기"/>
      <sheetName val="토공목차"/>
      <sheetName val="법면목차"/>
      <sheetName val="배수공목차"/>
      <sheetName val="구조물공목차"/>
      <sheetName val="포장공목차"/>
      <sheetName val="부대공목차"/>
      <sheetName val="토공"/>
      <sheetName val="법면"/>
      <sheetName val="배수공1"/>
      <sheetName val="포장공"/>
      <sheetName val="구조물공"/>
      <sheetName val="부대공"/>
      <sheetName val="중기일위대가"/>
      <sheetName val="중기일위대가목록인쇄"/>
      <sheetName val="예정공정표"/>
      <sheetName val="일위대가표"/>
      <sheetName val="WORK"/>
      <sheetName val="정부노임단가"/>
      <sheetName val="재집"/>
      <sheetName val="직재"/>
      <sheetName val="차액보증"/>
      <sheetName val="ITEM"/>
      <sheetName val="을"/>
      <sheetName val="일반공사"/>
      <sheetName val="건설내역"/>
      <sheetName val="Studio"/>
    </sheetNames>
    <definedNames>
      <definedName name="ISO_정렬"/>
      <definedName name="등록_시작"/>
      <definedName name="등록_취소"/>
      <definedName name="메인_시작"/>
      <definedName name="물량집계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R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9"/>
      <sheetName val="퇴직금미계산"/>
      <sheetName val="퇴충기초"/>
      <sheetName val="퇴충명세"/>
      <sheetName val="퇴직요약"/>
      <sheetName val="Sheet6"/>
      <sheetName val="LG가입명부"/>
      <sheetName val="퇴직증명서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년11월"/>
      <sheetName val="laroux"/>
      <sheetName val="표지"/>
      <sheetName val="표지 (2)"/>
      <sheetName val="COST"/>
      <sheetName val="부하(성남)"/>
    </sheetNames>
    <definedNames>
      <definedName name="Macro10"/>
      <definedName name="Macro12"/>
      <definedName name="Macro13"/>
      <definedName name="Macro14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계"/>
      <sheetName val="일위대가"/>
      <sheetName val="Module1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Module2"/>
      <sheetName val="Module3"/>
      <sheetName val="BAE-J-N"/>
    </sheetNames>
    <definedNames>
      <definedName name="Macro2"/>
      <definedName name="Macro3"/>
    </defined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rus"/>
      <sheetName val="c_balju"/>
      <sheetName val="작업"/>
      <sheetName val="부산화명100%(작업중)"/>
      <sheetName val="부하계산서"/>
    </sheetNames>
    <definedNames>
      <definedName name="macro6"/>
      <definedName name="macro7"/>
    </definedNames>
    <sheetDataSet>
      <sheetData sheetId="0" refreshError="1"/>
      <sheetData sheetId="1">
        <row r="1">
          <cell r="A1" t="str">
            <v>JIGU_CD</v>
          </cell>
        </row>
      </sheetData>
      <sheetData sheetId="2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자"/>
      <sheetName val="분석(NPV 및 IRR)"/>
      <sheetName val="예산내역코드-공사"/>
      <sheetName val="계획서"/>
      <sheetName val="분석(수요개발현황)"/>
      <sheetName val="총괄"/>
      <sheetName val="배관자재"/>
      <sheetName val="배관"/>
      <sheetName val="토목"/>
      <sheetName val="부대"/>
      <sheetName val="복구"/>
      <sheetName val="간접복구비산출"/>
      <sheetName val="외주"/>
      <sheetName val="토공"/>
      <sheetName val="계약서"/>
      <sheetName val="토공(야)"/>
      <sheetName val="배관(야)"/>
      <sheetName val="토목(야)"/>
      <sheetName val="하천"/>
      <sheetName val="물량"/>
      <sheetName val="결재란"/>
      <sheetName val="c_balj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성목차 (1)"/>
      <sheetName val="기성목차(본사)"/>
      <sheetName val="시설부기성집계"/>
      <sheetName val="작업목차"/>
      <sheetName val="시험장CCTV(동서쪽)"/>
      <sheetName val="시험장S자로가로등공사"/>
      <sheetName val="화성출고장"/>
      <sheetName val="A,B지역폐수자동제어공사"/>
      <sheetName val="시험장벨지안로"/>
      <sheetName val="B동전기실AIRCOMP"/>
      <sheetName val="배기동신축HOIST전원"/>
      <sheetName val="배기2동 인입공사견적건"/>
      <sheetName val="배기2동 인입공사견적건실행안"/>
      <sheetName val="배기2동 인입공사견적건실행안 (2)"/>
      <sheetName val="2001년도기성목차"/>
      <sheetName val="배관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"/>
      <sheetName val="XXX0"/>
      <sheetName val="XXX1"/>
      <sheetName val="XXX2"/>
      <sheetName val="XXX3"/>
      <sheetName val="XXX4"/>
      <sheetName val="Input"/>
      <sheetName val="Summary"/>
      <sheetName val="Market"/>
      <sheetName val="CostStruc"/>
      <sheetName val="Market (mon)"/>
      <sheetName val="Season"/>
      <sheetName val="CostStruc (mon)"/>
      <sheetName val="IS (mon)"/>
      <sheetName val="BS (mon)"/>
      <sheetName val="CF (mon)"/>
      <sheetName val="Debt (mon)"/>
      <sheetName val="Adj (2)"/>
      <sheetName val="IS"/>
      <sheetName val="BS"/>
      <sheetName val="CF"/>
      <sheetName val="CapEx"/>
      <sheetName val="Depr."/>
      <sheetName val="Debt"/>
      <sheetName val="I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B4" t="str">
            <v>RH Cement Corp.</v>
          </cell>
        </row>
        <row r="10">
          <cell r="B10" t="str">
            <v>Rothschild Consumption Forecast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조위생소방실물량"/>
      <sheetName val="Sheet1"/>
      <sheetName val="Sheet2"/>
      <sheetName val="Sheet3"/>
      <sheetName val="내역"/>
      <sheetName val="대공종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기공수"/>
      <sheetName val="집계"/>
      <sheetName val="을"/>
    </sheetNames>
    <sheetDataSet>
      <sheetData sheetId="0"/>
      <sheetData sheetId="1"/>
      <sheetData sheetId="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청구일반(나)"/>
      <sheetName val="지사역무별청구(나)"/>
      <sheetName val="당월청구미발행리스트(나)"/>
      <sheetName val="청구건수확인(나 )"/>
      <sheetName val="SO별청구현황(나 )"/>
      <sheetName val="요금조정현황(나 )"/>
      <sheetName val="고액조정리스트(나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내역"/>
      <sheetName val="공잡비"/>
      <sheetName val="변1예정"/>
      <sheetName val="변1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내역기준"/>
      <sheetName val="기기공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assump"/>
      <sheetName val="Disclaime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"/>
      <sheetName val="TC집계"/>
      <sheetName val="갑지"/>
      <sheetName val="TC"/>
      <sheetName val="기기공수"/>
      <sheetName val="입출재고현황 (2)"/>
      <sheetName val="2000전체분"/>
      <sheetName val="2000년1차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) 판매량.액"/>
      <sheetName val="2) 원가계산"/>
      <sheetName val="3) 원가배분"/>
      <sheetName val="4) 원가"/>
      <sheetName val="5) 자가소모"/>
      <sheetName val="6) 원가 표 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아니넷네고"/>
      <sheetName val="데이콤네고"/>
      <sheetName val="지급액역산"/>
      <sheetName val="118.세금과공과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업표지"/>
      <sheetName val="표지"/>
      <sheetName val="총괄요약"/>
      <sheetName val="경영목표1"/>
      <sheetName val="경영목표2"/>
      <sheetName val="경영목표3"/>
      <sheetName val="경영목표4"/>
      <sheetName val="성과"/>
      <sheetName val="사업요약2005"/>
      <sheetName val="추정대차"/>
      <sheetName val="자금계획"/>
      <sheetName val="신규투자"/>
      <sheetName val="추정손익"/>
      <sheetName val="판관비"/>
      <sheetName val="영업외손익"/>
      <sheetName val="재고계획"/>
      <sheetName val="매입채무"/>
      <sheetName val="매출채권"/>
      <sheetName val="인건비"/>
      <sheetName val="인원계획"/>
      <sheetName val="인건비분석"/>
      <sheetName val="판매출원"/>
      <sheetName val="GAS판매"/>
      <sheetName val="계약계획"/>
      <sheetName val="공급계획"/>
      <sheetName val="판매계획"/>
      <sheetName val="전년월별실적"/>
      <sheetName val="전년실적"/>
      <sheetName val="이자계산"/>
      <sheetName val="광고교육"/>
      <sheetName val="DICE작성수정분"/>
      <sheetName val="연구개발"/>
      <sheetName val="전산화계획_1"/>
      <sheetName val="전산화계획_2"/>
      <sheetName val="자금표지"/>
      <sheetName val="본부자금요약"/>
      <sheetName val="자금본부"/>
      <sheetName val="본부수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속-106"/>
      <sheetName val="잡철대비"/>
      <sheetName val="xxxxxx"/>
      <sheetName val="표지겉"/>
      <sheetName val="공사개요"/>
      <sheetName val="원가"/>
      <sheetName val="총괄집계표"/>
      <sheetName val="공통가설"/>
      <sheetName val="비과세A"/>
      <sheetName val="과세A"/>
      <sheetName val="부대동집계"/>
      <sheetName val="상가"/>
      <sheetName val="부속동"/>
      <sheetName val="조경,부대"/>
      <sheetName val="직재"/>
      <sheetName val="재집"/>
      <sheetName val="문학간접"/>
      <sheetName val="간접"/>
      <sheetName val="중기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등록업체추천서"/>
      <sheetName val="현장설명조서"/>
      <sheetName val="실시계획품의서"/>
      <sheetName val="표지"/>
      <sheetName val="현설(을)"/>
      <sheetName val="발주내역서"/>
      <sheetName val="단가 (2)"/>
      <sheetName val="산출내역서집계표"/>
      <sheetName val="데이타"/>
      <sheetName val="식재인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 (6)"/>
      <sheetName val="Module1 (5)"/>
      <sheetName val="Module1 (4)"/>
      <sheetName val="Module1 (3)"/>
      <sheetName val="Module1 (2)"/>
      <sheetName val="Module1 (7)"/>
      <sheetName val="Module4"/>
      <sheetName val="실행결재"/>
      <sheetName val="집계표"/>
      <sheetName val="통합원가"/>
      <sheetName val="골재량 비교"/>
      <sheetName val="제일안과병원"/>
      <sheetName val="공사비 비교표"/>
      <sheetName val="전기재료관"/>
      <sheetName val="관리비"/>
      <sheetName val="총 원가계산"/>
      <sheetName val="견적요지2"/>
      <sheetName val="Module1"/>
      <sheetName val="계산식"/>
      <sheetName val="Module5"/>
      <sheetName val="4 노임단가"/>
      <sheetName val="중기일위대가"/>
      <sheetName val="VXXXXXXX"/>
      <sheetName val="단가"/>
      <sheetName val="노임단가"/>
      <sheetName val="수목단가"/>
      <sheetName val="시설수량표"/>
      <sheetName val="식재수량표"/>
      <sheetName val="일위목록"/>
      <sheetName val="자재단가"/>
      <sheetName val="9.설치품셈"/>
      <sheetName val="품셈총괄"/>
      <sheetName val="기본DATA Sheet"/>
      <sheetName val="수량총괄"/>
      <sheetName val="단가 및 재료비"/>
      <sheetName val="중기사용료산출근거"/>
      <sheetName val="D"/>
      <sheetName val="건축일위"/>
      <sheetName val="그라우팅일위"/>
      <sheetName val="전기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계약의뢰"/>
      <sheetName val="입찰대비"/>
      <sheetName val="예산대비표"/>
      <sheetName val="현설"/>
      <sheetName val="견적서"/>
      <sheetName val="내역서"/>
      <sheetName val="일반조건"/>
      <sheetName val="증감내역"/>
      <sheetName val="Sheet3"/>
      <sheetName val="Sheet4"/>
      <sheetName val="Sheet5"/>
      <sheetName val="총 원가계산"/>
      <sheetName val="검사계약"/>
      <sheetName val="원가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) 판매량.액"/>
      <sheetName val="2) 원가계산"/>
      <sheetName val="3) 원가배분"/>
      <sheetName val="4) 원가"/>
      <sheetName val="5) 자가소모"/>
      <sheetName val="6) 원가 표 "/>
      <sheetName val="자동가스원가 (2005년11월)"/>
      <sheetName val="ASSIGN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.보증금(전신전화가입권)"/>
      <sheetName val="경쟁실분"/>
      <sheetName val="24_보증금_전신전화가입권_"/>
      <sheetName val="토목검측서"/>
      <sheetName val="보증금(전신전화가입권)"/>
      <sheetName val="표지"/>
      <sheetName val="결산명세수합및점검"/>
      <sheetName val="목차"/>
      <sheetName val="현금시재표"/>
      <sheetName val="예금명세서"/>
      <sheetName val="외화예금"/>
      <sheetName val="유가증권명세서"/>
      <sheetName val="채권집계"/>
      <sheetName val="재고자산명세서"/>
      <sheetName val="장기성예금"/>
      <sheetName val="투자유가증권"/>
      <sheetName val="출자금명세서"/>
      <sheetName val="관계회사주식명세서"/>
      <sheetName val="유전개발자금"/>
      <sheetName val="특정현금과예금"/>
      <sheetName val="관계회사장기대여금"/>
      <sheetName val="장기대여금"/>
      <sheetName val="보증금(임차보증금외)"/>
      <sheetName val="단체퇴직명세서"/>
      <sheetName val="유형고정자산"/>
      <sheetName val="무형고정자산"/>
      <sheetName val="광업권"/>
      <sheetName val="이연자산"/>
      <sheetName val="이연부채"/>
      <sheetName val="채무명세집계"/>
      <sheetName val="매입채무명세서"/>
      <sheetName val="단기채무명세서"/>
      <sheetName val="수입보증금"/>
      <sheetName val="미지급법인세"/>
      <sheetName val="사채명세서"/>
      <sheetName val="장기채무명세서"/>
      <sheetName val="장기어음미지급금"/>
      <sheetName val="충당금명세"/>
      <sheetName val="자본금"/>
      <sheetName val="자본잉여금"/>
      <sheetName val="이익잉여금"/>
      <sheetName val="매출액"/>
      <sheetName val="매출원가명세서"/>
      <sheetName val="제조원가명세서"/>
      <sheetName val="정비원가명세서"/>
      <sheetName val="공사원가명세서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보험가입자산"/>
      <sheetName val="담보자산"/>
      <sheetName val="선급비용집계표"/>
      <sheetName val="수출입보증금"/>
      <sheetName val="국민연금퇴직전환금"/>
      <sheetName val="Menu_Link"/>
      <sheetName val="H"/>
      <sheetName val="배서어음명세서"/>
      <sheetName val="보증금_전신전화가입권_"/>
      <sheetName val="연차사용현황2008년"/>
      <sheetName val="118.세금과공과"/>
      <sheetName val="108.수선비"/>
      <sheetName val="2013.하반기 선인세정리_참고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수정내역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>
        <row r="2">
          <cell r="A2">
            <v>2007</v>
          </cell>
        </row>
      </sheetData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"/>
      <sheetName val="표지"/>
      <sheetName val="총괄표"/>
      <sheetName val="판매실적(前)"/>
      <sheetName val="판매실적(後)"/>
      <sheetName val="판매계획(보정前)"/>
      <sheetName val="판매계획(보정後)"/>
      <sheetName val="판매계획(재고)"/>
      <sheetName val="분석(판매량)"/>
      <sheetName val="판매비실적1"/>
      <sheetName val="판매비실적2"/>
      <sheetName val="판매비계획1"/>
      <sheetName val="판매비계획2"/>
      <sheetName val="판매비계획2-1"/>
      <sheetName val="신규투자"/>
      <sheetName val="카카오"/>
      <sheetName val="책임수납"/>
      <sheetName val="사회배려대상"/>
      <sheetName val="시설"/>
      <sheetName val="연체료"/>
      <sheetName val="관리비"/>
      <sheetName val="전출수수료"/>
      <sheetName val="수납수수료"/>
      <sheetName val="문자수수료"/>
      <sheetName val="우편"/>
      <sheetName val="자동이체수수료"/>
      <sheetName val="특수계량기"/>
      <sheetName val="Sheet3"/>
      <sheetName val="Sheet1"/>
      <sheetName val="Sheet5"/>
      <sheetName val="Sheet2"/>
      <sheetName val="Sheet4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7">
          <cell r="A77" t="str">
            <v>재고량</v>
          </cell>
          <cell r="C77" t="str">
            <v>구 분</v>
          </cell>
          <cell r="D77" t="str">
            <v>1월</v>
          </cell>
          <cell r="E77" t="str">
            <v>2월</v>
          </cell>
          <cell r="F77" t="str">
            <v>3월</v>
          </cell>
          <cell r="G77" t="str">
            <v>4월</v>
          </cell>
          <cell r="H77" t="str">
            <v>5월</v>
          </cell>
          <cell r="I77" t="str">
            <v>6월</v>
          </cell>
          <cell r="K77" t="str">
            <v>7월</v>
          </cell>
          <cell r="L77" t="str">
            <v>8월</v>
          </cell>
          <cell r="M77" t="str">
            <v>9월</v>
          </cell>
          <cell r="N77" t="str">
            <v>10월</v>
          </cell>
          <cell r="O77" t="str">
            <v>11월</v>
          </cell>
          <cell r="P77" t="str">
            <v>12월</v>
          </cell>
        </row>
        <row r="78">
          <cell r="C78" t="str">
            <v>열량(MJ)</v>
          </cell>
          <cell r="D78">
            <v>-64135855</v>
          </cell>
          <cell r="E78">
            <v>21976245</v>
          </cell>
          <cell r="F78">
            <v>81825981.208611891</v>
          </cell>
          <cell r="G78">
            <v>136515752.90054506</v>
          </cell>
          <cell r="H78">
            <v>113556769.7870899</v>
          </cell>
          <cell r="I78">
            <v>108928690.2980282</v>
          </cell>
          <cell r="J78">
            <v>398667584.19427502</v>
          </cell>
          <cell r="K78">
            <v>80196082.957841977</v>
          </cell>
          <cell r="L78">
            <v>65046796.611445867</v>
          </cell>
          <cell r="M78">
            <v>67108948.1235075</v>
          </cell>
          <cell r="N78">
            <v>16285127.048799038</v>
          </cell>
          <cell r="O78">
            <v>-5372424.6124640303</v>
          </cell>
          <cell r="P78">
            <v>-75420244.863878891</v>
          </cell>
        </row>
        <row r="79">
          <cell r="C79" t="str">
            <v>부피(㎥)</v>
          </cell>
          <cell r="D79">
            <v>-1529656</v>
          </cell>
          <cell r="E79">
            <v>464427</v>
          </cell>
          <cell r="F79">
            <v>1921023.1531544053</v>
          </cell>
          <cell r="G79">
            <v>3204971.3088518619</v>
          </cell>
          <cell r="H79">
            <v>2665964.7796006552</v>
          </cell>
          <cell r="I79">
            <v>2557311.663294476</v>
          </cell>
          <cell r="J79">
            <v>9284041.9049013983</v>
          </cell>
          <cell r="K79">
            <v>1882758.1396370931</v>
          </cell>
          <cell r="L79">
            <v>1527099.3452622578</v>
          </cell>
          <cell r="M79">
            <v>1575512.3400283484</v>
          </cell>
          <cell r="N79">
            <v>382324.85148019809</v>
          </cell>
          <cell r="O79">
            <v>-126128.05757633597</v>
          </cell>
          <cell r="P79">
            <v>-1770636.104328651</v>
          </cell>
        </row>
      </sheetData>
      <sheetData sheetId="8">
        <row r="46">
          <cell r="A46" t="str">
            <v>상품구분</v>
          </cell>
          <cell r="B46" t="str">
            <v>19.9</v>
          </cell>
          <cell r="C46" t="str">
            <v>19.10</v>
          </cell>
          <cell r="D46" t="str">
            <v>19.11</v>
          </cell>
          <cell r="E46" t="str">
            <v>19.12</v>
          </cell>
          <cell r="F46">
            <v>1</v>
          </cell>
          <cell r="G46">
            <v>2</v>
          </cell>
          <cell r="H46">
            <v>3</v>
          </cell>
          <cell r="I46">
            <v>4</v>
          </cell>
          <cell r="J46">
            <v>5</v>
          </cell>
          <cell r="K46">
            <v>6</v>
          </cell>
          <cell r="L46" t="str">
            <v>상반기계</v>
          </cell>
          <cell r="M46">
            <v>7</v>
          </cell>
          <cell r="N46">
            <v>8</v>
          </cell>
          <cell r="O46">
            <v>9</v>
          </cell>
          <cell r="P46">
            <v>10</v>
          </cell>
          <cell r="Q46">
            <v>11</v>
          </cell>
          <cell r="R46">
            <v>12</v>
          </cell>
          <cell r="S46" t="str">
            <v>하반기계</v>
          </cell>
          <cell r="T46" t="str">
            <v>년간계</v>
          </cell>
          <cell r="U46" t="str">
            <v>동절기</v>
          </cell>
          <cell r="V46" t="str">
            <v>하절기</v>
          </cell>
          <cell r="W46" t="str">
            <v>기타</v>
          </cell>
        </row>
        <row r="47">
          <cell r="A47" t="str">
            <v>가정용(취사)</v>
          </cell>
          <cell r="B47">
            <v>29843.755000000001</v>
          </cell>
          <cell r="C47">
            <v>29318.162</v>
          </cell>
          <cell r="D47">
            <v>31650.429</v>
          </cell>
          <cell r="E47">
            <v>41742.981</v>
          </cell>
          <cell r="F47">
            <v>38043.209000000003</v>
          </cell>
          <cell r="G47">
            <v>33418.936999999998</v>
          </cell>
          <cell r="H47">
            <v>31783.219000000001</v>
          </cell>
          <cell r="I47">
            <v>30428.519</v>
          </cell>
          <cell r="J47">
            <v>27451.986000000001</v>
          </cell>
          <cell r="K47">
            <v>27076.332999999999</v>
          </cell>
          <cell r="L47">
            <v>188202.20300000004</v>
          </cell>
          <cell r="M47">
            <v>29204.629000000001</v>
          </cell>
          <cell r="N47">
            <v>27407.427</v>
          </cell>
          <cell r="O47">
            <v>27816.424999999999</v>
          </cell>
          <cell r="P47">
            <v>27222.922999999999</v>
          </cell>
          <cell r="Q47">
            <v>29908.846000000001</v>
          </cell>
          <cell r="R47">
            <v>39189.82</v>
          </cell>
          <cell r="S47">
            <v>180750.07</v>
          </cell>
          <cell r="T47">
            <v>368952.27300000004</v>
          </cell>
          <cell r="U47">
            <v>16.144200000000001</v>
          </cell>
        </row>
        <row r="48">
          <cell r="A48" t="str">
            <v xml:space="preserve">          (개별난방용)</v>
          </cell>
          <cell r="B48">
            <v>495777.77899999998</v>
          </cell>
          <cell r="C48">
            <v>1272981.048</v>
          </cell>
          <cell r="D48">
            <v>2584418.148</v>
          </cell>
          <cell r="E48">
            <v>4624283.76</v>
          </cell>
          <cell r="F48">
            <v>4476336.7419999996</v>
          </cell>
          <cell r="G48">
            <v>3869039.048</v>
          </cell>
          <cell r="H48">
            <v>2888517.9470000002</v>
          </cell>
          <cell r="I48">
            <v>1845940.94</v>
          </cell>
          <cell r="J48">
            <v>896314.16</v>
          </cell>
          <cell r="K48">
            <v>558856.63399999996</v>
          </cell>
          <cell r="L48">
            <v>14535005.470999999</v>
          </cell>
          <cell r="M48">
            <v>423259.71399999998</v>
          </cell>
          <cell r="N48">
            <v>357816.91100000002</v>
          </cell>
          <cell r="O48">
            <v>490926.47100000002</v>
          </cell>
          <cell r="P48">
            <v>1410405.6429999999</v>
          </cell>
          <cell r="Q48">
            <v>2768166.361</v>
          </cell>
          <cell r="R48">
            <v>4776865.8660000004</v>
          </cell>
          <cell r="S48">
            <v>10227440.966</v>
          </cell>
          <cell r="T48">
            <v>24762446.436999999</v>
          </cell>
          <cell r="U48">
            <v>16.936699999999998</v>
          </cell>
        </row>
        <row r="49">
          <cell r="A49" t="str">
            <v xml:space="preserve">          (중앙난방)</v>
          </cell>
          <cell r="B49">
            <v>20627.27</v>
          </cell>
          <cell r="C49">
            <v>40397.35</v>
          </cell>
          <cell r="D49">
            <v>84827.775999999998</v>
          </cell>
          <cell r="E49">
            <v>127923.81299999999</v>
          </cell>
          <cell r="F49">
            <v>125796.8</v>
          </cell>
          <cell r="G49">
            <v>108130.31600000001</v>
          </cell>
          <cell r="H49">
            <v>102248.245</v>
          </cell>
          <cell r="I49">
            <v>59566.745000000003</v>
          </cell>
          <cell r="J49">
            <v>31438.907999999999</v>
          </cell>
          <cell r="K49">
            <v>21888.170999999998</v>
          </cell>
          <cell r="L49">
            <v>449069.185</v>
          </cell>
          <cell r="M49">
            <v>16716.109</v>
          </cell>
          <cell r="N49">
            <v>15196.445</v>
          </cell>
          <cell r="O49">
            <v>23084.665000000001</v>
          </cell>
          <cell r="P49">
            <v>35859.341999999997</v>
          </cell>
          <cell r="Q49">
            <v>85099.937999999995</v>
          </cell>
          <cell r="R49">
            <v>128717.65</v>
          </cell>
          <cell r="S49">
            <v>304674.14899999998</v>
          </cell>
          <cell r="T49">
            <v>753743.33400000003</v>
          </cell>
          <cell r="U49">
            <v>16.895700000000001</v>
          </cell>
        </row>
        <row r="50">
          <cell r="A50" t="str">
            <v xml:space="preserve">          (자가열전용)</v>
          </cell>
          <cell r="B50">
            <v>4068.6190000000001</v>
          </cell>
          <cell r="C50">
            <v>13593.348</v>
          </cell>
          <cell r="D50">
            <v>39108.58</v>
          </cell>
          <cell r="E50">
            <v>73824.077000000005</v>
          </cell>
          <cell r="F50">
            <v>69901.770999999993</v>
          </cell>
          <cell r="G50">
            <v>65908.547999999995</v>
          </cell>
          <cell r="H50">
            <v>43274.082999999999</v>
          </cell>
          <cell r="I50">
            <v>20592.919000000002</v>
          </cell>
          <cell r="J50">
            <v>5757.4750000000004</v>
          </cell>
          <cell r="K50">
            <v>2760.752</v>
          </cell>
          <cell r="L50">
            <v>208195.54800000001</v>
          </cell>
          <cell r="M50">
            <v>1940.6279999999999</v>
          </cell>
          <cell r="N50">
            <v>1511.653</v>
          </cell>
          <cell r="O50">
            <v>2736.2719999999999</v>
          </cell>
          <cell r="P50">
            <v>11809.453</v>
          </cell>
          <cell r="Q50">
            <v>37410.373</v>
          </cell>
          <cell r="R50">
            <v>72916.482999999993</v>
          </cell>
          <cell r="S50">
            <v>128324.86199999999</v>
          </cell>
          <cell r="T50">
            <v>336520.41000000003</v>
          </cell>
          <cell r="U50">
            <v>16.895700000000001</v>
          </cell>
        </row>
        <row r="51">
          <cell r="A51" t="str">
            <v xml:space="preserve">일반용1 </v>
          </cell>
          <cell r="B51">
            <v>147447.71900000001</v>
          </cell>
          <cell r="C51">
            <v>171666.894</v>
          </cell>
          <cell r="D51">
            <v>202220.64199999999</v>
          </cell>
          <cell r="E51">
            <v>236485.70499999999</v>
          </cell>
          <cell r="F51">
            <v>207100.34099999999</v>
          </cell>
          <cell r="G51">
            <v>153757.022</v>
          </cell>
          <cell r="H51">
            <v>153443.609</v>
          </cell>
          <cell r="I51">
            <v>126325.625</v>
          </cell>
          <cell r="J51">
            <v>125293.811</v>
          </cell>
          <cell r="K51">
            <v>116342.905</v>
          </cell>
          <cell r="L51">
            <v>882263.31300000008</v>
          </cell>
          <cell r="M51">
            <v>113053.992</v>
          </cell>
          <cell r="N51">
            <v>106876.11</v>
          </cell>
          <cell r="O51">
            <v>104897.014</v>
          </cell>
          <cell r="P51">
            <v>155775.878</v>
          </cell>
          <cell r="Q51">
            <v>196659.01199999999</v>
          </cell>
          <cell r="R51">
            <v>246032.405</v>
          </cell>
          <cell r="S51">
            <v>923294.41100000008</v>
          </cell>
          <cell r="T51">
            <v>1805557.7240000002</v>
          </cell>
          <cell r="U51">
            <v>16.409099999999999</v>
          </cell>
          <cell r="V51">
            <v>16.172599999999999</v>
          </cell>
          <cell r="W51">
            <v>16.2255</v>
          </cell>
        </row>
        <row r="52">
          <cell r="A52" t="str">
            <v>일반용 2</v>
          </cell>
          <cell r="B52">
            <v>58418.54</v>
          </cell>
          <cell r="C52">
            <v>89718.751999999993</v>
          </cell>
          <cell r="D52">
            <v>127264.069</v>
          </cell>
          <cell r="E52">
            <v>200157.28400000001</v>
          </cell>
          <cell r="F52">
            <v>180835.13699999999</v>
          </cell>
          <cell r="G52">
            <v>103531.068</v>
          </cell>
          <cell r="H52">
            <v>106612.859</v>
          </cell>
          <cell r="I52">
            <v>85407.914999999994</v>
          </cell>
          <cell r="J52">
            <v>57631.220999999998</v>
          </cell>
          <cell r="K52">
            <v>50031.553999999996</v>
          </cell>
          <cell r="L52">
            <v>584049.75399999996</v>
          </cell>
          <cell r="M52">
            <v>42219.247000000003</v>
          </cell>
          <cell r="N52">
            <v>37280.182000000001</v>
          </cell>
          <cell r="O52">
            <v>44113.464</v>
          </cell>
          <cell r="P52">
            <v>93385.293000000005</v>
          </cell>
          <cell r="Q52">
            <v>133819.56599999999</v>
          </cell>
          <cell r="R52">
            <v>204753.041</v>
          </cell>
          <cell r="S52">
            <v>555570.79299999995</v>
          </cell>
          <cell r="T52">
            <v>1139620.5469999998</v>
          </cell>
          <cell r="U52">
            <v>16.409099999999999</v>
          </cell>
          <cell r="V52">
            <v>16.172599999999999</v>
          </cell>
          <cell r="W52">
            <v>16.2255</v>
          </cell>
        </row>
        <row r="53">
          <cell r="A53" t="str">
            <v>업무난방용</v>
          </cell>
          <cell r="B53">
            <v>19294.395</v>
          </cell>
          <cell r="C53">
            <v>40033.326999999997</v>
          </cell>
          <cell r="D53">
            <v>83279.538</v>
          </cell>
          <cell r="E53">
            <v>152414.424</v>
          </cell>
          <cell r="F53">
            <v>142826.03599999999</v>
          </cell>
          <cell r="G53">
            <v>113738.16499999999</v>
          </cell>
          <cell r="H53">
            <v>96660.854000000007</v>
          </cell>
          <cell r="I53">
            <v>41932.034</v>
          </cell>
          <cell r="J53">
            <v>20662.689999999999</v>
          </cell>
          <cell r="K53">
            <v>15735.164000000001</v>
          </cell>
          <cell r="L53">
            <v>431554.94299999997</v>
          </cell>
          <cell r="M53">
            <v>14538.007</v>
          </cell>
          <cell r="N53">
            <v>12350.344999999999</v>
          </cell>
          <cell r="O53">
            <v>12803.504000000001</v>
          </cell>
          <cell r="P53">
            <v>41839.64</v>
          </cell>
          <cell r="Q53">
            <v>84976.857999999993</v>
          </cell>
          <cell r="R53">
            <v>153845.10500000001</v>
          </cell>
          <cell r="S53">
            <v>320353.45900000003</v>
          </cell>
          <cell r="T53">
            <v>751908.402</v>
          </cell>
          <cell r="U53">
            <v>17.9114</v>
          </cell>
        </row>
        <row r="54">
          <cell r="A54" t="str">
            <v>냉방용</v>
          </cell>
          <cell r="B54">
            <v>117226.269</v>
          </cell>
          <cell r="C54">
            <v>42687.283000000003</v>
          </cell>
          <cell r="D54">
            <v>77645.724000000002</v>
          </cell>
          <cell r="E54">
            <v>186821.96299999999</v>
          </cell>
          <cell r="F54">
            <v>158736.54800000001</v>
          </cell>
          <cell r="G54">
            <v>111001.053</v>
          </cell>
          <cell r="H54">
            <v>83873.399000000005</v>
          </cell>
          <cell r="I54">
            <v>38215.726000000002</v>
          </cell>
          <cell r="J54">
            <v>53770.417999999998</v>
          </cell>
          <cell r="K54">
            <v>93084.635999999999</v>
          </cell>
          <cell r="L54">
            <v>538681.78</v>
          </cell>
          <cell r="M54">
            <v>159107.11799999999</v>
          </cell>
          <cell r="N54">
            <v>203048.804</v>
          </cell>
          <cell r="O54">
            <v>119635.174</v>
          </cell>
          <cell r="P54">
            <v>44417.381999999998</v>
          </cell>
          <cell r="Q54">
            <v>81764.751000000004</v>
          </cell>
          <cell r="R54">
            <v>191982.94500000001</v>
          </cell>
          <cell r="S54">
            <v>799956.17400000012</v>
          </cell>
          <cell r="T54">
            <v>1338637.9540000001</v>
          </cell>
          <cell r="U54">
            <v>17.541399999999999</v>
          </cell>
          <cell r="V54">
            <v>10.8224</v>
          </cell>
          <cell r="W54">
            <v>16.9634</v>
          </cell>
        </row>
        <row r="55">
          <cell r="A55" t="str">
            <v>산업용</v>
          </cell>
          <cell r="B55">
            <v>871808.14599999995</v>
          </cell>
          <cell r="C55">
            <v>1035065.591439</v>
          </cell>
          <cell r="D55">
            <v>1102136.7415739999</v>
          </cell>
          <cell r="E55">
            <v>1130810.1961419999</v>
          </cell>
          <cell r="F55">
            <v>1075198.4010000001</v>
          </cell>
          <cell r="G55">
            <v>1036210.431</v>
          </cell>
          <cell r="H55">
            <v>1069747.443</v>
          </cell>
          <cell r="I55">
            <v>926874.82499999995</v>
          </cell>
          <cell r="J55">
            <v>959332.93900000001</v>
          </cell>
          <cell r="K55">
            <v>914446.58299999998</v>
          </cell>
          <cell r="L55">
            <v>5981810.6219999995</v>
          </cell>
          <cell r="M55">
            <v>921567.57299999997</v>
          </cell>
          <cell r="N55">
            <v>834415.26399999997</v>
          </cell>
          <cell r="O55">
            <v>947685.42099999997</v>
          </cell>
          <cell r="P55">
            <v>937540.82499999995</v>
          </cell>
          <cell r="Q55">
            <v>1075342.125</v>
          </cell>
          <cell r="R55">
            <v>1143731.3359999999</v>
          </cell>
          <cell r="S55">
            <v>5860282.5439999998</v>
          </cell>
          <cell r="T55">
            <v>11842093.165999999</v>
          </cell>
          <cell r="U55">
            <v>14.8423</v>
          </cell>
          <cell r="V55">
            <v>14.2034</v>
          </cell>
          <cell r="W55">
            <v>14.2761</v>
          </cell>
        </row>
        <row r="56">
          <cell r="A56" t="str">
            <v>수송용(CNG)</v>
          </cell>
          <cell r="B56">
            <v>297375.49099999998</v>
          </cell>
          <cell r="C56">
            <v>292926.63</v>
          </cell>
          <cell r="D56">
            <v>282764.61</v>
          </cell>
          <cell r="E56">
            <v>287826.79399999999</v>
          </cell>
          <cell r="F56">
            <v>286035.72200000001</v>
          </cell>
          <cell r="G56">
            <v>268521.62699999998</v>
          </cell>
          <cell r="H56">
            <v>259493.62</v>
          </cell>
          <cell r="I56">
            <v>258963.715</v>
          </cell>
          <cell r="J56">
            <v>265411.23300000001</v>
          </cell>
          <cell r="K56">
            <v>258963.715</v>
          </cell>
          <cell r="L56">
            <v>1597389.632</v>
          </cell>
          <cell r="M56">
            <v>300283.348</v>
          </cell>
          <cell r="N56">
            <v>282493.25819999998</v>
          </cell>
          <cell r="O56">
            <v>270537.21967999998</v>
          </cell>
          <cell r="P56">
            <v>276484.85738</v>
          </cell>
          <cell r="Q56">
            <v>266343.22463999997</v>
          </cell>
          <cell r="R56">
            <v>273605.3884</v>
          </cell>
          <cell r="S56">
            <v>1669747.2963</v>
          </cell>
          <cell r="T56">
            <v>3267136.9282999998</v>
          </cell>
          <cell r="U56">
            <v>16.906099999999999</v>
          </cell>
        </row>
        <row r="57">
          <cell r="A57" t="str">
            <v>수송용(BiO)</v>
          </cell>
          <cell r="B57">
            <v>4443.5640000000003</v>
          </cell>
          <cell r="C57">
            <v>6659.0020000000004</v>
          </cell>
          <cell r="D57">
            <v>6650.7039999999997</v>
          </cell>
          <cell r="E57">
            <v>6641.7309999999998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16.906099999999999</v>
          </cell>
        </row>
        <row r="58">
          <cell r="A58" t="str">
            <v>열병합1</v>
          </cell>
          <cell r="B58">
            <v>24451.258999999998</v>
          </cell>
          <cell r="C58">
            <v>28597.054</v>
          </cell>
          <cell r="D58">
            <v>33773.555</v>
          </cell>
          <cell r="E58">
            <v>39360.771000000001</v>
          </cell>
          <cell r="F58">
            <v>37870.921000000002</v>
          </cell>
          <cell r="G58">
            <v>31729.173999999999</v>
          </cell>
          <cell r="H58">
            <v>34333.608</v>
          </cell>
          <cell r="I58">
            <v>30987.467000000001</v>
          </cell>
          <cell r="J58">
            <v>28017.897000000001</v>
          </cell>
          <cell r="K58">
            <v>24187.11</v>
          </cell>
          <cell r="L58">
            <v>187126.17700000003</v>
          </cell>
          <cell r="M58">
            <v>24589.239000000001</v>
          </cell>
          <cell r="N58">
            <v>22665.809000000001</v>
          </cell>
          <cell r="O58">
            <v>23877.795999999998</v>
          </cell>
          <cell r="P58">
            <v>29273.483</v>
          </cell>
          <cell r="Q58">
            <v>33317.398999999998</v>
          </cell>
          <cell r="R58">
            <v>40773.741999999998</v>
          </cell>
          <cell r="S58">
            <v>174497.46799999999</v>
          </cell>
          <cell r="T58">
            <v>361623.64500000002</v>
          </cell>
          <cell r="U58">
            <v>15.4971</v>
          </cell>
          <cell r="V58">
            <v>14.3942</v>
          </cell>
          <cell r="W58">
            <v>14.516299999999999</v>
          </cell>
        </row>
        <row r="59">
          <cell r="A59" t="str">
            <v>연료전지</v>
          </cell>
          <cell r="B59">
            <v>32586.762999999999</v>
          </cell>
          <cell r="C59">
            <v>35494.052000000003</v>
          </cell>
          <cell r="D59">
            <v>31061.569</v>
          </cell>
          <cell r="E59">
            <v>34568.749000000003</v>
          </cell>
          <cell r="F59">
            <v>19217.66</v>
          </cell>
          <cell r="G59">
            <v>2308.08</v>
          </cell>
          <cell r="H59">
            <v>2235.2269999999999</v>
          </cell>
          <cell r="I59">
            <v>2297.826</v>
          </cell>
          <cell r="J59">
            <v>2292.636</v>
          </cell>
          <cell r="K59">
            <v>6595.8779999999997</v>
          </cell>
          <cell r="L59">
            <v>34947.306999999993</v>
          </cell>
          <cell r="M59">
            <v>8186.9390000000003</v>
          </cell>
          <cell r="N59">
            <v>8053.0569999999998</v>
          </cell>
          <cell r="O59">
            <v>7284.4629999999997</v>
          </cell>
          <cell r="P59">
            <v>7520.6030000000001</v>
          </cell>
          <cell r="Q59">
            <v>7911.2640000000001</v>
          </cell>
          <cell r="R59">
            <v>7945.2910000000002</v>
          </cell>
          <cell r="S59">
            <v>46901.616999999998</v>
          </cell>
          <cell r="T59">
            <v>81848.923999999999</v>
          </cell>
          <cell r="U59">
            <v>12.9876</v>
          </cell>
          <cell r="V59">
            <v>12.9876</v>
          </cell>
          <cell r="W59">
            <v>12.9876</v>
          </cell>
        </row>
        <row r="60">
          <cell r="A60" t="str">
            <v>열병합2</v>
          </cell>
          <cell r="B60">
            <v>361.22293400000001</v>
          </cell>
          <cell r="C60">
            <v>530.50599999999997</v>
          </cell>
          <cell r="D60">
            <v>378.291</v>
          </cell>
          <cell r="E60">
            <v>195.626</v>
          </cell>
          <cell r="F60">
            <v>376.73500000000001</v>
          </cell>
          <cell r="G60">
            <v>96.402000000000001</v>
          </cell>
          <cell r="H60">
            <v>140.279</v>
          </cell>
          <cell r="I60">
            <v>213.11699999999999</v>
          </cell>
          <cell r="J60">
            <v>378.45100000000002</v>
          </cell>
          <cell r="K60">
            <v>204.52799999999999</v>
          </cell>
          <cell r="L60">
            <v>1409.5119999999999</v>
          </cell>
          <cell r="M60">
            <v>0</v>
          </cell>
          <cell r="N60">
            <v>571.64599999999996</v>
          </cell>
          <cell r="O60">
            <v>329.11099999999999</v>
          </cell>
          <cell r="P60">
            <v>599.43100000000004</v>
          </cell>
          <cell r="Q60">
            <v>324.86399999999998</v>
          </cell>
          <cell r="R60">
            <v>201.26300000000001</v>
          </cell>
          <cell r="S60">
            <v>2026.3150000000001</v>
          </cell>
          <cell r="T60">
            <v>3435.8270000000002</v>
          </cell>
          <cell r="U60">
            <v>15.4971</v>
          </cell>
          <cell r="V60">
            <v>14.3942</v>
          </cell>
          <cell r="W60">
            <v>14.516299999999999</v>
          </cell>
        </row>
        <row r="61">
          <cell r="A61" t="str">
            <v>열전용설비</v>
          </cell>
          <cell r="B61">
            <v>626.50976100000003</v>
          </cell>
          <cell r="C61">
            <v>511.53</v>
          </cell>
          <cell r="D61">
            <v>422.73700000000002</v>
          </cell>
          <cell r="E61">
            <v>607.46400000000006</v>
          </cell>
          <cell r="F61">
            <v>5493.0349999999999</v>
          </cell>
          <cell r="G61">
            <v>4706.8389999999999</v>
          </cell>
          <cell r="H61">
            <v>4596.1540000000005</v>
          </cell>
          <cell r="I61">
            <v>943.70600000000002</v>
          </cell>
          <cell r="J61">
            <v>592.98</v>
          </cell>
          <cell r="K61">
            <v>394.55700000000002</v>
          </cell>
          <cell r="L61">
            <v>16727.271000000001</v>
          </cell>
          <cell r="M61">
            <v>558.30600000000004</v>
          </cell>
          <cell r="N61">
            <v>5494.7169999999996</v>
          </cell>
          <cell r="O61">
            <v>22953.473999999998</v>
          </cell>
          <cell r="P61">
            <v>422.15199999999999</v>
          </cell>
          <cell r="Q61">
            <v>649.61099999999999</v>
          </cell>
          <cell r="R61">
            <v>1213.9449999999999</v>
          </cell>
          <cell r="S61">
            <v>31292.204999999994</v>
          </cell>
          <cell r="T61">
            <v>48019.475999999995</v>
          </cell>
          <cell r="U61">
            <v>17.427099999999999</v>
          </cell>
        </row>
        <row r="62">
          <cell r="A62" t="str">
            <v>주한미군</v>
          </cell>
          <cell r="B62">
            <v>1383.2529999999999</v>
          </cell>
          <cell r="C62">
            <v>2851.8690000000001</v>
          </cell>
          <cell r="D62">
            <v>9220.6669999999995</v>
          </cell>
          <cell r="E62">
            <v>15281.492</v>
          </cell>
          <cell r="F62">
            <v>12536.199000000001</v>
          </cell>
          <cell r="G62">
            <v>9987.7450000000008</v>
          </cell>
          <cell r="H62">
            <v>7951.5309999999999</v>
          </cell>
          <cell r="I62">
            <v>5542.88</v>
          </cell>
          <cell r="J62">
            <v>2201.6889999999999</v>
          </cell>
          <cell r="K62">
            <v>1840.9639999999999</v>
          </cell>
          <cell r="L62">
            <v>40061.008000000002</v>
          </cell>
          <cell r="M62">
            <v>2177.3829999999998</v>
          </cell>
          <cell r="N62">
            <v>1240.787</v>
          </cell>
          <cell r="O62">
            <v>1648.6590000000001</v>
          </cell>
          <cell r="P62">
            <v>3188.732</v>
          </cell>
          <cell r="Q62">
            <v>10121.289000000001</v>
          </cell>
          <cell r="R62">
            <v>16695.159</v>
          </cell>
          <cell r="S62">
            <v>35072.008999999998</v>
          </cell>
          <cell r="T62">
            <v>75133.016999999993</v>
          </cell>
          <cell r="U62">
            <v>15.984299999999999</v>
          </cell>
        </row>
        <row r="63"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 t="str">
            <v>합계</v>
          </cell>
          <cell r="B64">
            <v>2125740.5546950004</v>
          </cell>
          <cell r="C64">
            <v>3103032.3984389999</v>
          </cell>
          <cell r="D64">
            <v>4696823.7805740004</v>
          </cell>
          <cell r="E64">
            <v>7158946.8301419979</v>
          </cell>
          <cell r="F64">
            <v>6836305.2570000002</v>
          </cell>
          <cell r="G64">
            <v>5912084.4550000001</v>
          </cell>
          <cell r="H64">
            <v>4884912.0770000014</v>
          </cell>
          <cell r="I64">
            <v>3474233.9589999993</v>
          </cell>
          <cell r="J64">
            <v>2476548.4939999995</v>
          </cell>
          <cell r="K64">
            <v>2092409.4839999999</v>
          </cell>
          <cell r="L64">
            <v>25676493.726</v>
          </cell>
          <cell r="M64">
            <v>2057402.2320000001</v>
          </cell>
          <cell r="N64">
            <v>1916422.4151999997</v>
          </cell>
          <cell r="O64">
            <v>2100329.1326799998</v>
          </cell>
          <cell r="P64">
            <v>3075745.6373799993</v>
          </cell>
          <cell r="Q64">
            <v>4811815.4816399999</v>
          </cell>
          <cell r="R64">
            <v>7298469.4394000024</v>
          </cell>
          <cell r="S64">
            <v>21260184.338300001</v>
          </cell>
          <cell r="T64">
            <v>46936678.064300001</v>
          </cell>
        </row>
        <row r="65">
          <cell r="A65" t="str">
            <v>공급량(천㎥)</v>
          </cell>
          <cell r="F65">
            <v>160315.65400000001</v>
          </cell>
          <cell r="G65">
            <v>138651.18299999999</v>
          </cell>
          <cell r="H65">
            <v>114682.758</v>
          </cell>
          <cell r="I65">
            <v>81564.361999999994</v>
          </cell>
          <cell r="J65">
            <v>58141.764000000003</v>
          </cell>
          <cell r="K65">
            <v>49123.358</v>
          </cell>
          <cell r="L65">
            <v>602479.07899999991</v>
          </cell>
          <cell r="M65">
            <v>48558.235000000001</v>
          </cell>
          <cell r="N65">
            <v>44991.720999999998</v>
          </cell>
          <cell r="O65">
            <v>49309.286</v>
          </cell>
          <cell r="P65">
            <v>72209.077999999994</v>
          </cell>
          <cell r="Q65">
            <v>112966.675</v>
          </cell>
          <cell r="R65">
            <v>171345.685</v>
          </cell>
          <cell r="S65">
            <v>499380.68</v>
          </cell>
          <cell r="T65">
            <v>1101859.7589999998</v>
          </cell>
        </row>
        <row r="68">
          <cell r="A68" t="str">
            <v>가정용(공동주택)</v>
          </cell>
          <cell r="B68">
            <v>983</v>
          </cell>
          <cell r="C68">
            <v>1000</v>
          </cell>
          <cell r="D68">
            <v>1100</v>
          </cell>
          <cell r="E68">
            <v>1200</v>
          </cell>
          <cell r="F68">
            <v>735</v>
          </cell>
          <cell r="G68">
            <v>630</v>
          </cell>
          <cell r="H68">
            <v>960</v>
          </cell>
          <cell r="I68">
            <v>1894</v>
          </cell>
          <cell r="J68">
            <v>2326</v>
          </cell>
          <cell r="K68">
            <v>1534</v>
          </cell>
          <cell r="L68">
            <v>8079</v>
          </cell>
          <cell r="M68">
            <v>1312</v>
          </cell>
          <cell r="N68">
            <v>1803</v>
          </cell>
          <cell r="O68">
            <v>1767</v>
          </cell>
          <cell r="P68">
            <v>1502</v>
          </cell>
          <cell r="Q68">
            <v>1562</v>
          </cell>
          <cell r="R68">
            <v>1684</v>
          </cell>
          <cell r="S68">
            <v>9630</v>
          </cell>
          <cell r="T68">
            <v>17709</v>
          </cell>
        </row>
        <row r="69">
          <cell r="A69" t="str">
            <v>가정용(단독)</v>
          </cell>
          <cell r="B69">
            <v>1053</v>
          </cell>
          <cell r="C69">
            <v>920</v>
          </cell>
          <cell r="D69">
            <v>1203</v>
          </cell>
          <cell r="E69">
            <v>1546</v>
          </cell>
          <cell r="F69">
            <v>1117</v>
          </cell>
          <cell r="G69">
            <v>683</v>
          </cell>
          <cell r="H69">
            <v>526</v>
          </cell>
          <cell r="I69">
            <v>658</v>
          </cell>
          <cell r="J69">
            <v>657</v>
          </cell>
          <cell r="K69">
            <v>735</v>
          </cell>
          <cell r="L69">
            <v>4376</v>
          </cell>
          <cell r="M69">
            <v>832</v>
          </cell>
          <cell r="N69">
            <v>882</v>
          </cell>
          <cell r="O69">
            <v>754</v>
          </cell>
          <cell r="P69">
            <v>941</v>
          </cell>
          <cell r="Q69">
            <v>1076</v>
          </cell>
          <cell r="R69">
            <v>1202</v>
          </cell>
          <cell r="S69">
            <v>5687</v>
          </cell>
          <cell r="T69">
            <v>10063</v>
          </cell>
        </row>
        <row r="70">
          <cell r="A70" t="str">
            <v>가정용(소계)</v>
          </cell>
          <cell r="B70">
            <v>2036</v>
          </cell>
          <cell r="C70">
            <v>1920</v>
          </cell>
          <cell r="D70">
            <v>2303</v>
          </cell>
          <cell r="E70">
            <v>2746</v>
          </cell>
          <cell r="F70">
            <v>1852</v>
          </cell>
          <cell r="G70">
            <v>1313</v>
          </cell>
          <cell r="H70">
            <v>1486</v>
          </cell>
          <cell r="I70">
            <v>2552</v>
          </cell>
          <cell r="J70">
            <v>2983</v>
          </cell>
          <cell r="K70">
            <v>2269</v>
          </cell>
          <cell r="L70">
            <v>12455</v>
          </cell>
          <cell r="M70">
            <v>2144</v>
          </cell>
          <cell r="N70">
            <v>2685</v>
          </cell>
          <cell r="O70">
            <v>2521</v>
          </cell>
          <cell r="P70">
            <v>2443</v>
          </cell>
          <cell r="Q70">
            <v>2638</v>
          </cell>
          <cell r="R70">
            <v>2886</v>
          </cell>
          <cell r="S70">
            <v>15317</v>
          </cell>
          <cell r="T70">
            <v>27772</v>
          </cell>
        </row>
        <row r="71">
          <cell r="A71" t="str">
            <v>영업용</v>
          </cell>
          <cell r="B71">
            <v>115</v>
          </cell>
          <cell r="C71">
            <v>142</v>
          </cell>
          <cell r="D71">
            <v>199</v>
          </cell>
          <cell r="E71">
            <v>184</v>
          </cell>
          <cell r="F71">
            <v>108</v>
          </cell>
          <cell r="G71">
            <v>91</v>
          </cell>
          <cell r="H71">
            <v>117</v>
          </cell>
          <cell r="I71">
            <v>122</v>
          </cell>
          <cell r="J71">
            <v>130</v>
          </cell>
          <cell r="K71">
            <v>107</v>
          </cell>
          <cell r="L71">
            <v>675</v>
          </cell>
          <cell r="M71">
            <v>109</v>
          </cell>
          <cell r="N71">
            <v>97</v>
          </cell>
          <cell r="O71">
            <v>110</v>
          </cell>
          <cell r="P71">
            <v>132</v>
          </cell>
          <cell r="Q71">
            <v>187</v>
          </cell>
          <cell r="R71">
            <v>170</v>
          </cell>
          <cell r="S71">
            <v>805</v>
          </cell>
          <cell r="T71">
            <v>1480</v>
          </cell>
        </row>
        <row r="72">
          <cell r="A72" t="str">
            <v>업무용</v>
          </cell>
          <cell r="B72">
            <v>98</v>
          </cell>
          <cell r="C72">
            <v>17</v>
          </cell>
          <cell r="D72">
            <v>24</v>
          </cell>
          <cell r="E72">
            <v>27</v>
          </cell>
          <cell r="F72">
            <v>24</v>
          </cell>
          <cell r="G72">
            <v>22</v>
          </cell>
          <cell r="H72">
            <v>19</v>
          </cell>
          <cell r="I72">
            <v>15</v>
          </cell>
          <cell r="J72">
            <v>16</v>
          </cell>
          <cell r="K72">
            <v>16</v>
          </cell>
          <cell r="L72">
            <v>112</v>
          </cell>
          <cell r="M72">
            <v>19</v>
          </cell>
          <cell r="N72">
            <v>20</v>
          </cell>
          <cell r="O72">
            <v>22</v>
          </cell>
          <cell r="P72">
            <v>21</v>
          </cell>
          <cell r="Q72">
            <v>35</v>
          </cell>
          <cell r="R72">
            <v>35</v>
          </cell>
          <cell r="S72">
            <v>152</v>
          </cell>
          <cell r="T72">
            <v>264</v>
          </cell>
        </row>
        <row r="73">
          <cell r="A73" t="str">
            <v>산업용</v>
          </cell>
          <cell r="B73">
            <v>6</v>
          </cell>
          <cell r="C73">
            <v>0</v>
          </cell>
          <cell r="D73">
            <v>1</v>
          </cell>
          <cell r="E73">
            <v>0</v>
          </cell>
          <cell r="F73">
            <v>1</v>
          </cell>
          <cell r="G73">
            <v>0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5</v>
          </cell>
          <cell r="M73">
            <v>1</v>
          </cell>
          <cell r="N73">
            <v>1</v>
          </cell>
          <cell r="O73">
            <v>1</v>
          </cell>
          <cell r="P73">
            <v>2</v>
          </cell>
          <cell r="Q73">
            <v>2</v>
          </cell>
          <cell r="R73">
            <v>2</v>
          </cell>
          <cell r="S73">
            <v>9</v>
          </cell>
          <cell r="T73">
            <v>14</v>
          </cell>
        </row>
        <row r="74">
          <cell r="A74" t="str">
            <v>수송용</v>
          </cell>
          <cell r="B74">
            <v>0</v>
          </cell>
          <cell r="C74">
            <v>6</v>
          </cell>
          <cell r="D74">
            <v>7</v>
          </cell>
          <cell r="E74">
            <v>6</v>
          </cell>
          <cell r="F74">
            <v>5</v>
          </cell>
          <cell r="G74">
            <v>9</v>
          </cell>
          <cell r="H74">
            <v>-17</v>
          </cell>
          <cell r="I74">
            <v>5</v>
          </cell>
          <cell r="J74">
            <v>3</v>
          </cell>
          <cell r="K74">
            <v>4</v>
          </cell>
          <cell r="L74">
            <v>9</v>
          </cell>
          <cell r="M74">
            <v>1</v>
          </cell>
          <cell r="N74">
            <v>1</v>
          </cell>
          <cell r="O74">
            <v>5</v>
          </cell>
          <cell r="P74">
            <v>-3</v>
          </cell>
          <cell r="Q74">
            <v>4</v>
          </cell>
          <cell r="R74">
            <v>4</v>
          </cell>
          <cell r="S74">
            <v>12</v>
          </cell>
          <cell r="T74">
            <v>21</v>
          </cell>
        </row>
        <row r="75">
          <cell r="A75" t="str">
            <v>공급세대(수송용포함)</v>
          </cell>
          <cell r="B75">
            <v>2255</v>
          </cell>
          <cell r="C75">
            <v>2085</v>
          </cell>
          <cell r="D75">
            <v>2534</v>
          </cell>
          <cell r="E75">
            <v>2963</v>
          </cell>
          <cell r="F75">
            <v>1990</v>
          </cell>
          <cell r="G75">
            <v>1435</v>
          </cell>
          <cell r="H75">
            <v>1606</v>
          </cell>
          <cell r="I75">
            <v>2695</v>
          </cell>
          <cell r="J75">
            <v>3133</v>
          </cell>
          <cell r="K75">
            <v>2397</v>
          </cell>
          <cell r="L75">
            <v>13256</v>
          </cell>
          <cell r="M75">
            <v>2274</v>
          </cell>
          <cell r="N75">
            <v>2804</v>
          </cell>
          <cell r="O75">
            <v>2659</v>
          </cell>
          <cell r="P75">
            <v>2595</v>
          </cell>
          <cell r="Q75">
            <v>2866</v>
          </cell>
          <cell r="R75">
            <v>3097</v>
          </cell>
          <cell r="S75">
            <v>16295</v>
          </cell>
          <cell r="T75">
            <v>29551</v>
          </cell>
        </row>
        <row r="83">
          <cell r="A83" t="str">
            <v>상품구분</v>
          </cell>
          <cell r="F83">
            <v>1</v>
          </cell>
          <cell r="G83">
            <v>2</v>
          </cell>
          <cell r="H83">
            <v>3</v>
          </cell>
          <cell r="I83">
            <v>4</v>
          </cell>
          <cell r="J83">
            <v>5</v>
          </cell>
          <cell r="K83">
            <v>6</v>
          </cell>
          <cell r="L83" t="str">
            <v>상반기계</v>
          </cell>
          <cell r="M83">
            <v>7</v>
          </cell>
          <cell r="N83">
            <v>8</v>
          </cell>
          <cell r="O83">
            <v>9</v>
          </cell>
          <cell r="P83">
            <v>10</v>
          </cell>
          <cell r="Q83">
            <v>11</v>
          </cell>
          <cell r="R83">
            <v>12</v>
          </cell>
          <cell r="S83" t="str">
            <v>하반기계</v>
          </cell>
          <cell r="T83" t="str">
            <v>년간계</v>
          </cell>
        </row>
        <row r="84">
          <cell r="A84" t="str">
            <v>가정용(취사)</v>
          </cell>
          <cell r="F84">
            <v>35000</v>
          </cell>
          <cell r="G84">
            <v>33774</v>
          </cell>
          <cell r="H84">
            <v>33306.072458000002</v>
          </cell>
          <cell r="I84">
            <v>31704.646400000001</v>
          </cell>
          <cell r="J84">
            <v>30249.927019999996</v>
          </cell>
          <cell r="K84">
            <v>27424.187678000002</v>
          </cell>
          <cell r="L84">
            <v>191458.83355600003</v>
          </cell>
          <cell r="M84">
            <v>27246.596680000002</v>
          </cell>
          <cell r="N84">
            <v>29066.244446000001</v>
          </cell>
          <cell r="O84">
            <v>27438.919846000001</v>
          </cell>
          <cell r="P84">
            <v>27763.009819999999</v>
          </cell>
          <cell r="Q84">
            <v>27542.547836999998</v>
          </cell>
          <cell r="R84">
            <v>30966.877035999998</v>
          </cell>
          <cell r="S84">
            <v>170024.19566499998</v>
          </cell>
          <cell r="T84">
            <v>361483.02922100003</v>
          </cell>
        </row>
        <row r="85">
          <cell r="A85" t="str">
            <v xml:space="preserve">          (개별난방용)</v>
          </cell>
          <cell r="F85">
            <v>4329746</v>
          </cell>
          <cell r="G85">
            <v>4508891</v>
          </cell>
          <cell r="H85">
            <v>3805305.1764350003</v>
          </cell>
          <cell r="I85">
            <v>2834303.942636</v>
          </cell>
          <cell r="J85">
            <v>1793711.4670999998</v>
          </cell>
          <cell r="K85">
            <v>874379.42081000004</v>
          </cell>
          <cell r="L85">
            <v>18146337.006981</v>
          </cell>
          <cell r="M85">
            <v>548822.46192000003</v>
          </cell>
          <cell r="N85">
            <v>418744.16059300001</v>
          </cell>
          <cell r="O85">
            <v>367400.79931999999</v>
          </cell>
          <cell r="P85">
            <v>572760.11730799999</v>
          </cell>
          <cell r="Q85">
            <v>1569263.6470059999</v>
          </cell>
          <cell r="R85">
            <v>2999166.8040749999</v>
          </cell>
          <cell r="S85">
            <v>6476157.9902219996</v>
          </cell>
          <cell r="T85">
            <v>24622494.997203</v>
          </cell>
        </row>
        <row r="86">
          <cell r="A86" t="str">
            <v xml:space="preserve">          (중앙난방)</v>
          </cell>
          <cell r="F86">
            <v>126839</v>
          </cell>
          <cell r="G86">
            <v>116970</v>
          </cell>
          <cell r="H86">
            <v>104471.66783799999</v>
          </cell>
          <cell r="I86">
            <v>79114.872000000003</v>
          </cell>
          <cell r="J86">
            <v>44349.585183000003</v>
          </cell>
          <cell r="K86">
            <v>25784.871695999998</v>
          </cell>
          <cell r="L86">
            <v>497529.99671699997</v>
          </cell>
          <cell r="M86">
            <v>18655.632249999999</v>
          </cell>
          <cell r="N86">
            <v>15810.389256</v>
          </cell>
          <cell r="O86">
            <v>20347.452660000003</v>
          </cell>
          <cell r="P86">
            <v>32627.348718999998</v>
          </cell>
          <cell r="Q86">
            <v>72297.383040000001</v>
          </cell>
          <cell r="R86">
            <v>116810.014624</v>
          </cell>
          <cell r="S86">
            <v>276548.22054900002</v>
          </cell>
          <cell r="T86">
            <v>774078.21726599999</v>
          </cell>
        </row>
        <row r="87">
          <cell r="A87" t="str">
            <v xml:space="preserve">          (자가열전용)</v>
          </cell>
          <cell r="F87">
            <v>69921</v>
          </cell>
          <cell r="G87">
            <v>59892</v>
          </cell>
          <cell r="H87">
            <v>46420.273634999998</v>
          </cell>
          <cell r="I87">
            <v>25061.108308000003</v>
          </cell>
          <cell r="J87">
            <v>9184.4625640000013</v>
          </cell>
          <cell r="K87">
            <v>3201.2702810000001</v>
          </cell>
          <cell r="L87">
            <v>213680.11478800001</v>
          </cell>
          <cell r="M87">
            <v>2030.0215159999998</v>
          </cell>
          <cell r="N87">
            <v>1547.2579250000001</v>
          </cell>
          <cell r="O87">
            <v>2660.3456219999998</v>
          </cell>
          <cell r="P87">
            <v>11292.281682999999</v>
          </cell>
          <cell r="Q87">
            <v>35848.71688</v>
          </cell>
          <cell r="R87">
            <v>70324.536969999986</v>
          </cell>
          <cell r="S87">
            <v>123703.16059599999</v>
          </cell>
          <cell r="T87">
            <v>337383.27538399998</v>
          </cell>
        </row>
        <row r="88">
          <cell r="A88" t="str">
            <v>소 계</v>
          </cell>
          <cell r="F88">
            <v>4561506</v>
          </cell>
          <cell r="G88">
            <v>4719527</v>
          </cell>
          <cell r="H88">
            <v>3989503.1903659999</v>
          </cell>
          <cell r="I88">
            <v>2970184.569344</v>
          </cell>
          <cell r="J88">
            <v>1877495.4418669997</v>
          </cell>
          <cell r="K88">
            <v>930789.75046499993</v>
          </cell>
          <cell r="L88">
            <v>19049005.952041999</v>
          </cell>
          <cell r="M88">
            <v>596754.71236600005</v>
          </cell>
          <cell r="N88">
            <v>465168.05222000001</v>
          </cell>
          <cell r="O88">
            <v>417847.51744799997</v>
          </cell>
          <cell r="P88">
            <v>644442.75753000006</v>
          </cell>
          <cell r="Q88">
            <v>1704952.294763</v>
          </cell>
          <cell r="R88">
            <v>3217268.2327049999</v>
          </cell>
          <cell r="S88">
            <v>7046433.567032</v>
          </cell>
          <cell r="T88">
            <v>26095439.519074</v>
          </cell>
        </row>
        <row r="89">
          <cell r="A89" t="str">
            <v xml:space="preserve">일반용1 </v>
          </cell>
          <cell r="F89">
            <v>222682</v>
          </cell>
          <cell r="G89">
            <v>200686</v>
          </cell>
          <cell r="H89">
            <v>153691.832096</v>
          </cell>
          <cell r="I89">
            <v>148643.725832</v>
          </cell>
          <cell r="J89">
            <v>126137.83485199999</v>
          </cell>
          <cell r="K89">
            <v>123467.826176</v>
          </cell>
          <cell r="L89">
            <v>975309.21895599994</v>
          </cell>
          <cell r="M89">
            <v>115632.499792</v>
          </cell>
          <cell r="N89">
            <v>111830.771364</v>
          </cell>
          <cell r="O89">
            <v>106424.876112</v>
          </cell>
          <cell r="P89">
            <v>117413.21454399999</v>
          </cell>
          <cell r="Q89">
            <v>167264.038654</v>
          </cell>
          <cell r="R89">
            <v>210434.188647</v>
          </cell>
          <cell r="S89">
            <v>828999.58911299997</v>
          </cell>
          <cell r="T89">
            <v>1804308.808069</v>
          </cell>
        </row>
        <row r="90">
          <cell r="A90" t="str">
            <v>일반용 2</v>
          </cell>
          <cell r="F90">
            <v>177917</v>
          </cell>
          <cell r="G90">
            <v>175222</v>
          </cell>
          <cell r="H90">
            <v>105075.045291</v>
          </cell>
          <cell r="I90">
            <v>97388.70835999999</v>
          </cell>
          <cell r="J90">
            <v>72769.519230000005</v>
          </cell>
          <cell r="K90">
            <v>53823.787832999995</v>
          </cell>
          <cell r="L90">
            <v>682196.0607139999</v>
          </cell>
          <cell r="M90">
            <v>45820.720527000005</v>
          </cell>
          <cell r="N90">
            <v>39645.994135000001</v>
          </cell>
          <cell r="O90">
            <v>41072.653510000004</v>
          </cell>
          <cell r="P90">
            <v>74120.007860999991</v>
          </cell>
          <cell r="Q90">
            <v>118737.58217099999</v>
          </cell>
          <cell r="R90">
            <v>177940.18745</v>
          </cell>
          <cell r="S90">
            <v>497337.14565399999</v>
          </cell>
          <cell r="T90">
            <v>1179533.2063679998</v>
          </cell>
        </row>
        <row r="91">
          <cell r="A91" t="str">
            <v>소 계</v>
          </cell>
          <cell r="F91">
            <v>400599</v>
          </cell>
          <cell r="G91">
            <v>375908</v>
          </cell>
          <cell r="H91">
            <v>258766.87738700002</v>
          </cell>
          <cell r="I91">
            <v>246032.43419199999</v>
          </cell>
          <cell r="J91">
            <v>198907.35408199998</v>
          </cell>
          <cell r="K91">
            <v>177291.61400900001</v>
          </cell>
          <cell r="L91">
            <v>1657505.2796700001</v>
          </cell>
          <cell r="M91">
            <v>161453.22031900001</v>
          </cell>
          <cell r="N91">
            <v>151476.765499</v>
          </cell>
          <cell r="O91">
            <v>147497.529622</v>
          </cell>
          <cell r="P91">
            <v>191533.22240499998</v>
          </cell>
          <cell r="Q91">
            <v>286001.62082499999</v>
          </cell>
          <cell r="R91">
            <v>388374.37609699997</v>
          </cell>
        </row>
        <row r="92">
          <cell r="A92" t="str">
            <v>업무난방용</v>
          </cell>
          <cell r="F92">
            <v>140891</v>
          </cell>
          <cell r="G92">
            <v>140073</v>
          </cell>
          <cell r="H92">
            <v>108170.961614</v>
          </cell>
          <cell r="I92">
            <v>82540.818440000003</v>
          </cell>
          <cell r="J92">
            <v>36019.156367999996</v>
          </cell>
          <cell r="K92">
            <v>18864.14301</v>
          </cell>
          <cell r="L92">
            <v>526559.07943200006</v>
          </cell>
          <cell r="M92">
            <v>15238.343844999999</v>
          </cell>
          <cell r="N92">
            <v>13654.191552</v>
          </cell>
          <cell r="O92">
            <v>12554.719709000001</v>
          </cell>
          <cell r="P92">
            <v>27176.391320000002</v>
          </cell>
          <cell r="Q92">
            <v>63321.974563999989</v>
          </cell>
          <cell r="R92">
            <v>117344.93409</v>
          </cell>
          <cell r="S92">
            <v>249290.55507999996</v>
          </cell>
          <cell r="T92">
            <v>775849.63451200002</v>
          </cell>
        </row>
        <row r="93">
          <cell r="A93" t="str">
            <v>냉방용</v>
          </cell>
          <cell r="F93">
            <v>160855</v>
          </cell>
          <cell r="G93">
            <v>152711</v>
          </cell>
          <cell r="H93">
            <v>97084.566498</v>
          </cell>
          <cell r="I93">
            <v>64240.599610000005</v>
          </cell>
          <cell r="J93">
            <v>45619.759392</v>
          </cell>
          <cell r="K93">
            <v>73820.669179999997</v>
          </cell>
          <cell r="L93">
            <v>594331.59467999998</v>
          </cell>
          <cell r="M93">
            <v>128868.82124400001</v>
          </cell>
          <cell r="N93">
            <v>181429.494488</v>
          </cell>
          <cell r="O93">
            <v>158672.75284</v>
          </cell>
          <cell r="P93">
            <v>75482.330095999991</v>
          </cell>
          <cell r="Q93">
            <v>68655.824481000003</v>
          </cell>
          <cell r="R93">
            <v>152304.39516000001</v>
          </cell>
          <cell r="S93">
            <v>765413.61830900004</v>
          </cell>
          <cell r="T93">
            <v>1359745.2129890001</v>
          </cell>
        </row>
        <row r="94">
          <cell r="A94" t="str">
            <v>산업용</v>
          </cell>
          <cell r="F94">
            <v>1091076</v>
          </cell>
          <cell r="G94">
            <v>1069543</v>
          </cell>
          <cell r="H94">
            <v>1059887.5614720001</v>
          </cell>
          <cell r="I94">
            <v>977451.73177199997</v>
          </cell>
          <cell r="J94">
            <v>947875.22475800011</v>
          </cell>
          <cell r="K94">
            <v>930246.58031200001</v>
          </cell>
          <cell r="L94">
            <v>6076080.0983140003</v>
          </cell>
          <cell r="M94">
            <v>919224.76728999999</v>
          </cell>
          <cell r="N94">
            <v>865615.790622</v>
          </cell>
          <cell r="O94">
            <v>908380.67652099999</v>
          </cell>
          <cell r="P94">
            <v>940533.48081999994</v>
          </cell>
          <cell r="Q94">
            <v>1031521.3116000001</v>
          </cell>
          <cell r="R94">
            <v>1122188.7345350001</v>
          </cell>
          <cell r="S94">
            <v>5787464.761388001</v>
          </cell>
          <cell r="T94">
            <v>11863544.859702002</v>
          </cell>
        </row>
        <row r="95">
          <cell r="A95" t="str">
            <v>수송용(CNG)</v>
          </cell>
          <cell r="F95">
            <v>286036</v>
          </cell>
          <cell r="G95">
            <v>267395</v>
          </cell>
          <cell r="H95">
            <v>259493.62</v>
          </cell>
          <cell r="I95">
            <v>258963.715</v>
          </cell>
          <cell r="J95">
            <v>265411.23300000001</v>
          </cell>
          <cell r="K95">
            <v>258963.715</v>
          </cell>
          <cell r="L95">
            <v>1596263.2830000001</v>
          </cell>
          <cell r="M95">
            <v>300283.348</v>
          </cell>
          <cell r="N95">
            <v>282493.25819999998</v>
          </cell>
          <cell r="O95">
            <v>270537.21967999998</v>
          </cell>
          <cell r="P95">
            <v>276484.85738</v>
          </cell>
          <cell r="Q95">
            <v>266343.22463999997</v>
          </cell>
          <cell r="R95">
            <v>273605.3884</v>
          </cell>
          <cell r="S95">
            <v>1669747.2963</v>
          </cell>
          <cell r="T95">
            <v>3266010.5793000003</v>
          </cell>
        </row>
        <row r="96">
          <cell r="A96" t="str">
            <v>수송용(BiO)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A97" t="str">
            <v>열병합1</v>
          </cell>
          <cell r="F97">
            <v>37906</v>
          </cell>
          <cell r="G97">
            <v>36232</v>
          </cell>
          <cell r="H97">
            <v>34085.826333999998</v>
          </cell>
          <cell r="I97">
            <v>31752.697264999999</v>
          </cell>
          <cell r="J97">
            <v>28820.996510000001</v>
          </cell>
          <cell r="K97">
            <v>24958.594475999998</v>
          </cell>
          <cell r="L97">
            <v>193756.114585</v>
          </cell>
          <cell r="M97">
            <v>24541.787777999998</v>
          </cell>
          <cell r="N97">
            <v>23487.500900000003</v>
          </cell>
          <cell r="O97">
            <v>24054.196637999998</v>
          </cell>
          <cell r="P97">
            <v>29225.431560000001</v>
          </cell>
          <cell r="Q97">
            <v>33193.388324</v>
          </cell>
          <cell r="R97">
            <v>40221.914357000001</v>
          </cell>
          <cell r="S97">
            <v>174724.219557</v>
          </cell>
          <cell r="T97">
            <v>368480.33414200001</v>
          </cell>
        </row>
        <row r="98">
          <cell r="A98" t="str">
            <v>연료전지</v>
          </cell>
          <cell r="F98">
            <v>19100</v>
          </cell>
          <cell r="G98">
            <v>2308</v>
          </cell>
          <cell r="H98">
            <v>2235.2269999999999</v>
          </cell>
          <cell r="I98">
            <v>2297.826</v>
          </cell>
          <cell r="J98">
            <v>2292.636</v>
          </cell>
          <cell r="K98">
            <v>6595.8779999999997</v>
          </cell>
          <cell r="M98">
            <v>8186.9390000000003</v>
          </cell>
          <cell r="N98">
            <v>8053.0569999999998</v>
          </cell>
          <cell r="O98">
            <v>7284.4629999999997</v>
          </cell>
          <cell r="P98">
            <v>7520.6030000000001</v>
          </cell>
          <cell r="Q98">
            <v>7911.2640000000001</v>
          </cell>
          <cell r="R98">
            <v>7945.2910000000002</v>
          </cell>
          <cell r="T98">
            <v>0</v>
          </cell>
        </row>
        <row r="99">
          <cell r="A99" t="str">
            <v>열전용설비</v>
          </cell>
          <cell r="F99">
            <v>5466</v>
          </cell>
          <cell r="G99">
            <v>4707</v>
          </cell>
          <cell r="H99">
            <v>4614.8597650000002</v>
          </cell>
          <cell r="I99">
            <v>1812.9886240000001</v>
          </cell>
          <cell r="J99">
            <v>688.72819800000002</v>
          </cell>
          <cell r="K99">
            <v>465.19558800000004</v>
          </cell>
          <cell r="L99">
            <v>17754.772175000002</v>
          </cell>
          <cell r="M99">
            <v>515.24001300000009</v>
          </cell>
          <cell r="N99">
            <v>4038.4757549999995</v>
          </cell>
          <cell r="O99">
            <v>18885.583618999997</v>
          </cell>
          <cell r="P99">
            <v>6100.0451439999997</v>
          </cell>
          <cell r="Q99">
            <v>606.62124900000003</v>
          </cell>
          <cell r="R99">
            <v>1098.2565300000001</v>
          </cell>
          <cell r="S99">
            <v>31244.222309999997</v>
          </cell>
          <cell r="T99">
            <v>48998.994485000003</v>
          </cell>
        </row>
        <row r="100">
          <cell r="A100" t="str">
            <v>주한미군</v>
          </cell>
          <cell r="F100">
            <v>12536</v>
          </cell>
          <cell r="G100">
            <v>9988</v>
          </cell>
          <cell r="H100">
            <v>7951.5309999999999</v>
          </cell>
          <cell r="I100">
            <v>5542.88</v>
          </cell>
          <cell r="J100">
            <v>2201.6889999999999</v>
          </cell>
          <cell r="K100">
            <v>1840.9639999999999</v>
          </cell>
          <cell r="L100">
            <v>40061.063999999998</v>
          </cell>
          <cell r="M100">
            <v>2177.3829999999998</v>
          </cell>
          <cell r="N100">
            <v>1240.787</v>
          </cell>
          <cell r="O100">
            <v>1648.6590000000001</v>
          </cell>
          <cell r="P100">
            <v>3188.732</v>
          </cell>
          <cell r="Q100">
            <v>10121.289000000001</v>
          </cell>
          <cell r="R100">
            <v>16695.159</v>
          </cell>
          <cell r="S100">
            <v>35072.008999999998</v>
          </cell>
          <cell r="T100">
            <v>75133.073000000004</v>
          </cell>
        </row>
        <row r="101">
          <cell r="A101" t="str">
            <v>소계</v>
          </cell>
          <cell r="F101">
            <v>1753866</v>
          </cell>
          <cell r="G101">
            <v>1684084</v>
          </cell>
          <cell r="H101">
            <v>1573524.153683</v>
          </cell>
          <cell r="I101">
            <v>1424603.2567109999</v>
          </cell>
          <cell r="J101">
            <v>1328929.423226</v>
          </cell>
          <cell r="K101">
            <v>1315755.7395659997</v>
          </cell>
          <cell r="L101">
            <v>9080762.5731859989</v>
          </cell>
          <cell r="M101">
            <v>1399036.63017</v>
          </cell>
          <cell r="N101">
            <v>1380012.5555170001</v>
          </cell>
          <cell r="O101">
            <v>1402018.2710069998</v>
          </cell>
          <cell r="P101">
            <v>1365711.8713199999</v>
          </cell>
          <cell r="Q101">
            <v>1481674.8978580001</v>
          </cell>
          <cell r="R101">
            <v>1731404.0730719999</v>
          </cell>
          <cell r="S101">
            <v>8759858.2989440002</v>
          </cell>
          <cell r="T101">
            <v>17840620.872129999</v>
          </cell>
        </row>
        <row r="102">
          <cell r="A102" t="str">
            <v>합계</v>
          </cell>
          <cell r="F102">
            <v>6715971</v>
          </cell>
          <cell r="G102">
            <v>6779519</v>
          </cell>
          <cell r="H102">
            <v>5821794.2214360004</v>
          </cell>
          <cell r="I102">
            <v>4640820.2602469996</v>
          </cell>
          <cell r="J102">
            <v>3405332.2191749997</v>
          </cell>
          <cell r="K102">
            <v>2423837.1040399997</v>
          </cell>
          <cell r="L102">
            <v>29787273.804897998</v>
          </cell>
          <cell r="M102">
            <v>2157244.5628550001</v>
          </cell>
          <cell r="N102">
            <v>1996657.3732360001</v>
          </cell>
          <cell r="O102">
            <v>1967363.3180769999</v>
          </cell>
          <cell r="P102">
            <v>2201687.8512550001</v>
          </cell>
          <cell r="Q102">
            <v>3472628.8134460002</v>
          </cell>
          <cell r="R102">
            <v>5337046.6818739995</v>
          </cell>
          <cell r="S102">
            <v>17132628.600742999</v>
          </cell>
          <cell r="T102">
            <v>46919902.405640997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내역작성"/>
      <sheetName val="기본자료입력"/>
      <sheetName val="기성실행현황"/>
      <sheetName val="설계예산서"/>
      <sheetName val="도급내역서"/>
      <sheetName val="실행내역서"/>
      <sheetName val="도급실행대비표"/>
      <sheetName val="견적대비표"/>
      <sheetName val="견적품의서"/>
      <sheetName val="내역서표지"/>
      <sheetName val="원가계산서"/>
      <sheetName val="공사예정공정표"/>
      <sheetName val="변경내역서"/>
      <sheetName val="변경실행내역서"/>
      <sheetName val="공사원가계산서"/>
      <sheetName val="원도급자변경설계서"/>
      <sheetName val="하도급비교내역서"/>
      <sheetName val="하도급비교내역서표지"/>
      <sheetName val="하도급비교변경내역서"/>
      <sheetName val="변경설명서"/>
      <sheetName val="변경설계서갑지"/>
      <sheetName val="변경증감(물량)대비표"/>
      <sheetName val="변경증감(금액)대비표"/>
      <sheetName val="변경설계서표지"/>
      <sheetName val="변경내역서간지"/>
      <sheetName val="기성내역서표지"/>
      <sheetName val="기성부분내역서1"/>
      <sheetName val="기성부분내역서2"/>
      <sheetName val="기성부분내역서3"/>
      <sheetName val="기성부분내역서4"/>
      <sheetName val="기성부분내역서5"/>
      <sheetName val="실행기성내역서1"/>
      <sheetName val="실행기성내역서2"/>
      <sheetName val="실행기성내역서3"/>
      <sheetName val="실행기성내역서4"/>
      <sheetName val="실행기성내역서5"/>
      <sheetName val="파일의이용"/>
      <sheetName val="청천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O2" t="str">
            <v>원도급</v>
          </cell>
        </row>
      </sheetData>
      <sheetData sheetId="3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전문"/>
      <sheetName val="예산서"/>
      <sheetName val="사급분"/>
      <sheetName val="도급총괄"/>
      <sheetName val="설계예시"/>
      <sheetName val="세부내역"/>
      <sheetName val="단가목록"/>
      <sheetName val="자재집계"/>
      <sheetName val="중강당 내역"/>
      <sheetName val="총괄표"/>
      <sheetName val="파일의이용"/>
      <sheetName val="공종단가"/>
      <sheetName val="증감대비"/>
      <sheetName val="조경"/>
      <sheetName val="기계경비(시간당)"/>
      <sheetName val="램머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자"/>
      <sheetName val="분석(NPV 및 IRR)"/>
      <sheetName val="계획서"/>
      <sheetName val="분석(수요개발현황)"/>
      <sheetName val="총괄"/>
      <sheetName val="배관자재"/>
      <sheetName val="배관"/>
      <sheetName val="토목"/>
      <sheetName val="부대"/>
      <sheetName val="복구"/>
      <sheetName val="간접복구비산출"/>
      <sheetName val="외주"/>
      <sheetName val="토공"/>
      <sheetName val="계약서"/>
      <sheetName val="토공(야)"/>
      <sheetName val="배관(야)"/>
      <sheetName val="토목(야)"/>
      <sheetName val="하천"/>
      <sheetName val="물량"/>
      <sheetName val="결재란"/>
      <sheetName val="설계예시"/>
    </sheetNames>
    <sheetDataSet>
      <sheetData sheetId="0" refreshError="1"/>
      <sheetData sheetId="1" refreshError="1"/>
      <sheetData sheetId="2">
        <row r="29">
          <cell r="L29" t="str">
            <v>PEC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1.공사원가계산서"/>
      <sheetName val="2 공정별집계표"/>
      <sheetName val="1.1)BC기기설치"/>
      <sheetName val="1.2)시설기기"/>
      <sheetName val="1.3)사무동기기"/>
      <sheetName val="1.4 ECMS"/>
      <sheetName val="2.1 BC_TRAY"/>
      <sheetName val="2.2 시설TRAY"/>
      <sheetName val="3.1 BC_CABLE"/>
      <sheetName val="3.2 시설CABLE"/>
      <sheetName val="3.3 사무CABLE"/>
      <sheetName val="4.1 BC전선로"/>
      <sheetName val="4.2 시설전선로"/>
      <sheetName val="4.3 사무동전선로"/>
      <sheetName val="4.4 BC_CABLE(CONT)"/>
      <sheetName val="4.5 시설CABLE(CONT)"/>
      <sheetName val="5.1 BC조명"/>
      <sheetName val="5.2시설조명"/>
      <sheetName val="5.3사무동조명"/>
      <sheetName val="6.1 BC접지"/>
      <sheetName val="6.2 시설접지"/>
      <sheetName val="6.3 사무동접지"/>
      <sheetName val="7.1 신축전기실소방"/>
      <sheetName val="7.2 광장전기실소방"/>
      <sheetName val="7.3정비고소방"/>
      <sheetName val="7.4사무동소방"/>
      <sheetName val="8.1 BC전화"/>
      <sheetName val="8.2 시설전화"/>
      <sheetName val="8.3 사무동전화"/>
      <sheetName val="9.1 BC_CCTV"/>
      <sheetName val="9.2 시설CCTV"/>
      <sheetName val="9.3 CCTV설치"/>
      <sheetName val="10.1 BC방송"/>
      <sheetName val="10.2 시설방송"/>
      <sheetName val="11. 광케이블"/>
      <sheetName val="12. 토목분공사비집계표"/>
      <sheetName val="3.일위대가"/>
      <sheetName val="4 노임단가"/>
      <sheetName val="계획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7">
          <cell r="E7">
            <v>94778</v>
          </cell>
        </row>
      </sheetData>
      <sheetData sheetId="3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결임시"/>
      <sheetName val="도공품의"/>
      <sheetName val="조달품의"/>
      <sheetName val="조정안"/>
      <sheetName val="투찰총괄"/>
      <sheetName val="기구표"/>
      <sheetName val="영종도"/>
      <sheetName val="A4PO"/>
      <sheetName val="A4LA"/>
      <sheetName val="타사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0000"/>
      <sheetName val="원하집계"/>
      <sheetName val="세부기준"/>
      <sheetName val="하도총괄"/>
      <sheetName val="원하도"/>
      <sheetName val="투찰"/>
      <sheetName val="4 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총지"/>
      <sheetName val="내지"/>
      <sheetName val="총괄"/>
      <sheetName val="입찰안"/>
      <sheetName val="적격"/>
      <sheetName val="평가"/>
      <sheetName val="적정"/>
      <sheetName val="표지"/>
      <sheetName val="관리"/>
      <sheetName val="하도"/>
      <sheetName val="별지"/>
      <sheetName val="토공"/>
      <sheetName val="의뢰"/>
      <sheetName val="견적"/>
      <sheetName val="AS"/>
      <sheetName val="조사"/>
      <sheetName val="합의서"/>
      <sheetName val="연결임시"/>
      <sheetName val="조달청적격심사"/>
      <sheetName val="원가"/>
      <sheetName val="설 계"/>
      <sheetName val="구조물공"/>
      <sheetName val="부대공"/>
      <sheetName val="배수공"/>
      <sheetName val="포장공"/>
      <sheetName val="경산"/>
      <sheetName val="금액내역서"/>
      <sheetName val="Sheet5"/>
      <sheetName val="9902"/>
      <sheetName val="집계표"/>
      <sheetName val="BID"/>
      <sheetName val="국내조달(통합-1)"/>
      <sheetName val="기초공"/>
      <sheetName val="기둥(원형)"/>
      <sheetName val="천안F"/>
      <sheetName val="부대내역"/>
      <sheetName val="토사(PE)"/>
      <sheetName val="APT"/>
      <sheetName val="남평내역"/>
      <sheetName val="교량하부공"/>
      <sheetName val="Sheet4"/>
      <sheetName val="1호인버트수량"/>
      <sheetName val="집행현황"/>
      <sheetName val="DATE"/>
      <sheetName val="Macro3"/>
      <sheetName val="Sheet2 (2)"/>
      <sheetName val="3.3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6호기"/>
      <sheetName val="측구공"/>
      <sheetName val="인건-측정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"/>
      <sheetName val="97현황"/>
      <sheetName val="98현황"/>
      <sheetName val="99현황"/>
      <sheetName val="2000현황"/>
      <sheetName val="2001현황"/>
      <sheetName val="2002현황"/>
      <sheetName val="정압폐기"/>
      <sheetName val="건별단가산정"/>
      <sheetName val="리스트"/>
      <sheetName val="폐기원본"/>
      <sheetName val="폐기(회계,자산코드)"/>
      <sheetName val="폐기(회계,현장코드)"/>
      <sheetName val="폐기(자본지출)"/>
      <sheetName val="폐기대장"/>
      <sheetName val="기부체납단가"/>
      <sheetName val="상품매출"/>
      <sheetName val="재고 "/>
      <sheetName val="총괄표"/>
      <sheetName val="결재인"/>
      <sheetName val="회사정보"/>
      <sheetName val="TB"/>
      <sheetName val="광주"/>
      <sheetName val="기초수불"/>
      <sheetName val="대구"/>
      <sheetName val="대전"/>
      <sheetName val="부산"/>
      <sheetName val="5) 자가소모"/>
      <sheetName val="주관사업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내역"/>
      <sheetName val="공잡비"/>
      <sheetName val="20청천덕평"/>
      <sheetName val="20청천잡"/>
      <sheetName val="2000전체분"/>
      <sheetName val="2000전체잡비"/>
      <sheetName val="2000년1차"/>
      <sheetName val="2000년1차잡비"/>
      <sheetName val="신규단가"/>
      <sheetName val="단가리스트"/>
      <sheetName val="입력"/>
      <sheetName val="Sheet1"/>
      <sheetName val="STANDARD"/>
      <sheetName val="재료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총괄표"/>
      <sheetName val="비율"/>
      <sheetName val="총괄표"/>
      <sheetName val="내역금액집계"/>
      <sheetName val="입찰내역"/>
      <sheetName val="도급"/>
      <sheetName val="하도급"/>
      <sheetName val="도급하도급집계금액"/>
      <sheetName val="도급,하도급 예정금액"/>
      <sheetName val="원하도급대비표"/>
      <sheetName val="도급한도액"/>
      <sheetName val="표지"/>
      <sheetName val="내역표지"/>
      <sheetName val="2000년1차"/>
      <sheetName val="납부서"/>
      <sheetName val="기존단가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총집계(1)"/>
      <sheetName val="토목집계(1)"/>
      <sheetName val="전기집계(1)"/>
      <sheetName val="하도사항(1)"/>
      <sheetName val="하도별지(1)"/>
      <sheetName val="토공 부대입찰(1)"/>
      <sheetName val="철콘 부대입찰(1)"/>
      <sheetName val="              "/>
      <sheetName val="합의서"/>
      <sheetName val="내역서"/>
      <sheetName val="입찰안"/>
      <sheetName val="100억 이상"/>
      <sheetName val="적격점수"/>
      <sheetName val="자재인력"/>
      <sheetName val="입찰결과"/>
      <sheetName val="조건표"/>
      <sheetName val="표지"/>
      <sheetName val="도급,하도급 예정금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"/>
      <sheetName val="철콘"/>
      <sheetName val="성보g"/>
      <sheetName val="성보(토공)"/>
      <sheetName val="성보(철콘)"/>
      <sheetName val="각서"/>
      <sheetName val="하도급사항"/>
      <sheetName val="Sheet1"/>
      <sheetName val="Sheet2"/>
      <sheetName val="Sheet3"/>
      <sheetName val="일위대가표 "/>
      <sheetName val="2000년1차"/>
      <sheetName val="2000전체분"/>
      <sheetName val="5. 2005 상반기 시중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판매출원"/>
      <sheetName val="구성비분석(열량)"/>
      <sheetName val="구성비분석(증감)"/>
      <sheetName val="공급비용"/>
      <sheetName val="공급비용 (2)"/>
      <sheetName val="공급비용제출손실금액"/>
      <sheetName val="판매명세"/>
      <sheetName val="판매명세 (바이오)"/>
      <sheetName val="가스사입 (연동)(1)"/>
      <sheetName val="가스사입 (연동)(2)"/>
      <sheetName val="가스사입 (연동)(3)"/>
      <sheetName val="공급일보(2)"/>
      <sheetName val="공급일보(바이오)"/>
      <sheetName val="상품수불(3)"/>
      <sheetName val="사용용도구분설명"/>
      <sheetName val="사회적배려대상인상전후구분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4">
          <cell r="B64">
            <v>1</v>
          </cell>
          <cell r="D64">
            <v>6499069</v>
          </cell>
          <cell r="E64">
            <v>6499069</v>
          </cell>
          <cell r="F64">
            <v>6571445</v>
          </cell>
          <cell r="G64">
            <v>6571445</v>
          </cell>
        </row>
        <row r="65">
          <cell r="B65">
            <v>2</v>
          </cell>
          <cell r="D65">
            <v>5706492</v>
          </cell>
          <cell r="E65">
            <v>12205561</v>
          </cell>
          <cell r="F65">
            <v>6242988</v>
          </cell>
          <cell r="G65">
            <v>12814433</v>
          </cell>
        </row>
        <row r="66">
          <cell r="B66">
            <v>3</v>
          </cell>
          <cell r="D66">
            <v>5011229</v>
          </cell>
          <cell r="E66">
            <v>17216790</v>
          </cell>
          <cell r="F66">
            <v>5689279</v>
          </cell>
          <cell r="G66">
            <v>18503712</v>
          </cell>
        </row>
        <row r="67">
          <cell r="B67">
            <v>4</v>
          </cell>
          <cell r="D67">
            <v>3556643</v>
          </cell>
          <cell r="E67">
            <v>20773433</v>
          </cell>
          <cell r="F67">
            <v>4679343</v>
          </cell>
          <cell r="G67">
            <v>23183055</v>
          </cell>
        </row>
        <row r="68">
          <cell r="B68">
            <v>5</v>
          </cell>
          <cell r="D68">
            <v>2545793</v>
          </cell>
          <cell r="E68">
            <v>23319226</v>
          </cell>
          <cell r="F68">
            <v>3523734</v>
          </cell>
          <cell r="G68">
            <v>26706789</v>
          </cell>
        </row>
        <row r="69">
          <cell r="B69">
            <v>6</v>
          </cell>
          <cell r="D69">
            <v>2280061</v>
          </cell>
          <cell r="E69">
            <v>25599287</v>
          </cell>
          <cell r="F69">
            <v>2471268</v>
          </cell>
          <cell r="G69">
            <v>29178057</v>
          </cell>
        </row>
        <row r="70">
          <cell r="B70">
            <v>7</v>
          </cell>
          <cell r="D70">
            <v>2283956</v>
          </cell>
          <cell r="E70">
            <v>27883243</v>
          </cell>
          <cell r="F70">
            <v>2337001</v>
          </cell>
          <cell r="G70">
            <v>31515058</v>
          </cell>
        </row>
        <row r="71">
          <cell r="B71">
            <v>8</v>
          </cell>
          <cell r="D71">
            <v>2025823</v>
          </cell>
          <cell r="E71">
            <v>29909066</v>
          </cell>
          <cell r="F71">
            <v>2248558</v>
          </cell>
          <cell r="G71">
            <v>33763616</v>
          </cell>
        </row>
        <row r="72">
          <cell r="B72">
            <v>9</v>
          </cell>
          <cell r="D72">
            <v>2085091</v>
          </cell>
          <cell r="E72">
            <v>31994157</v>
          </cell>
          <cell r="F72">
            <v>2074376</v>
          </cell>
          <cell r="G72">
            <v>35837992</v>
          </cell>
        </row>
        <row r="73">
          <cell r="B73">
            <v>10</v>
          </cell>
          <cell r="D73">
            <v>2564701</v>
          </cell>
          <cell r="E73">
            <v>34558858</v>
          </cell>
          <cell r="F73">
            <v>2218497</v>
          </cell>
          <cell r="G73">
            <v>38056489</v>
          </cell>
        </row>
        <row r="74">
          <cell r="B74">
            <v>11</v>
          </cell>
          <cell r="D74">
            <v>4490664</v>
          </cell>
          <cell r="E74">
            <v>39049522</v>
          </cell>
          <cell r="F74">
            <v>2905304</v>
          </cell>
          <cell r="G74">
            <v>40961793</v>
          </cell>
        </row>
        <row r="75">
          <cell r="B75">
            <v>12</v>
          </cell>
          <cell r="D75">
            <v>6732902</v>
          </cell>
          <cell r="E75">
            <v>45782424</v>
          </cell>
          <cell r="F75">
            <v>4981377</v>
          </cell>
          <cell r="G75">
            <v>45943170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(건축)"/>
      <sheetName val="DATE"/>
      <sheetName val="Sheet1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추정"/>
      <sheetName val="매출이익 (확정)"/>
      <sheetName val="추정사입량"/>
      <sheetName val="추정원가"/>
      <sheetName val="증량 및 사입량(요금과)"/>
      <sheetName val="판매량추정(요금과)"/>
      <sheetName val="추정감가상각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흑표지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공사구간명세 (당초)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3">
          <cell r="D23">
            <v>9544500</v>
          </cell>
        </row>
        <row r="24">
          <cell r="D24">
            <v>7423500</v>
          </cell>
        </row>
        <row r="26">
          <cell r="D26">
            <v>720700</v>
          </cell>
        </row>
        <row r="27">
          <cell r="D27">
            <v>687300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7">
            <v>842500</v>
          </cell>
          <cell r="B7">
            <v>674000</v>
          </cell>
          <cell r="C7">
            <v>555300</v>
          </cell>
          <cell r="D7">
            <v>469500</v>
          </cell>
          <cell r="E7">
            <v>543400</v>
          </cell>
          <cell r="F7">
            <v>617300</v>
          </cell>
          <cell r="G7">
            <v>489000</v>
          </cell>
          <cell r="H7">
            <v>423900</v>
          </cell>
          <cell r="I7">
            <v>352400</v>
          </cell>
          <cell r="J7">
            <v>316300</v>
          </cell>
          <cell r="K7">
            <v>316300</v>
          </cell>
          <cell r="L7">
            <v>316300</v>
          </cell>
          <cell r="M7">
            <v>592600</v>
          </cell>
          <cell r="N7">
            <v>484900</v>
          </cell>
          <cell r="O7">
            <v>404300</v>
          </cell>
          <cell r="P7">
            <v>354200</v>
          </cell>
          <cell r="Q7">
            <v>303200</v>
          </cell>
          <cell r="R7">
            <v>303200</v>
          </cell>
          <cell r="S7">
            <v>303200</v>
          </cell>
          <cell r="T7">
            <v>303200</v>
          </cell>
          <cell r="U7">
            <v>303200</v>
          </cell>
        </row>
      </sheetData>
      <sheetData sheetId="12" refreshError="1"/>
      <sheetData sheetId="1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서어음명세서"/>
      <sheetName val="미수수익명세서"/>
      <sheetName val="단기대여"/>
      <sheetName val="어음대여금"/>
      <sheetName val="선급금"/>
      <sheetName val="수불명세서"/>
      <sheetName val="타계정대체명세서"/>
      <sheetName val="지급어음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시장동향"/>
      <sheetName val="가스"/>
      <sheetName val="거래선별 기여이익"/>
      <sheetName val="채권유형별"/>
      <sheetName val="기여이익"/>
      <sheetName val="채권명세서"/>
      <sheetName val="추정원가"/>
      <sheetName val="선급비용"/>
      <sheetName val="21.보증금(전신전화가입권)"/>
      <sheetName val="24.보증금(전신전화가입권)"/>
      <sheetName val="보증금(전신전화가입권)"/>
      <sheetName val="INFORM"/>
      <sheetName val="213"/>
      <sheetName val="테크론"/>
      <sheetName val="단가표"/>
      <sheetName val="인상계획"/>
      <sheetName val="108.수선비"/>
      <sheetName val="118.세금과공과"/>
      <sheetName val="수선비"/>
      <sheetName val="2000추계"/>
      <sheetName val="118_세금과공과"/>
      <sheetName val="임직원 기본인사사항"/>
      <sheetName val="생산계획"/>
      <sheetName val="TEMP"/>
      <sheetName val="JA"/>
      <sheetName val="일위대가표"/>
      <sheetName val="생산직"/>
      <sheetName val="노임단가"/>
      <sheetName val="R&amp;D"/>
      <sheetName val="회수내역"/>
      <sheetName val="외부용"/>
      <sheetName val="할증 "/>
      <sheetName val="SYS검토(1A1)"/>
      <sheetName val="KOR"/>
      <sheetName val="기본입력사항"/>
      <sheetName val="미착기계"/>
      <sheetName val="#내수판매대수"/>
      <sheetName val="단"/>
      <sheetName val="상반기손익차2총괄"/>
      <sheetName val="손익계산서(SJ)"/>
      <sheetName val="#REF"/>
      <sheetName val="강관"/>
      <sheetName val="단가"/>
      <sheetName val="지방,해외배부"/>
      <sheetName val="제조원가계산서 (2)"/>
      <sheetName val="제품(수출)매출"/>
      <sheetName val="00실적"/>
    </sheetNames>
    <sheetDataSet>
      <sheetData sheetId="0" refreshError="1">
        <row r="2">
          <cell r="A2" t="str">
            <v>배서어음명세서</v>
          </cell>
        </row>
        <row r="3">
          <cell r="A3" t="str">
            <v>(제116호 서식)</v>
          </cell>
        </row>
        <row r="4">
          <cell r="A4" t="str">
            <v>사업장명:</v>
          </cell>
          <cell r="E4" t="str">
            <v>1998년 12월 31일 현재</v>
          </cell>
        </row>
        <row r="5">
          <cell r="A5" t="str">
            <v>내                        용</v>
          </cell>
        </row>
        <row r="6">
          <cell r="A6" t="str">
            <v>거래선</v>
          </cell>
          <cell r="B6" t="str">
            <v>대표자</v>
          </cell>
          <cell r="C6" t="str">
            <v>어음구분</v>
          </cell>
          <cell r="D6" t="str">
            <v>일련번호</v>
          </cell>
          <cell r="E6" t="str">
            <v>결제은행명</v>
          </cell>
          <cell r="F6" t="str">
            <v>금  액</v>
          </cell>
        </row>
        <row r="43">
          <cell r="A43" t="str">
            <v>거래선</v>
          </cell>
          <cell r="B43" t="str">
            <v>대표자</v>
          </cell>
          <cell r="C43" t="str">
            <v>어음구분</v>
          </cell>
          <cell r="D43" t="str">
            <v>일련번호</v>
          </cell>
          <cell r="E43" t="str">
            <v>결제은행명</v>
          </cell>
          <cell r="F43" t="str">
            <v>금  액</v>
          </cell>
        </row>
        <row r="44">
          <cell r="B44" t="str">
            <v>계</v>
          </cell>
          <cell r="F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1"/>
      <sheetName val="예정공정표"/>
      <sheetName val="변경내역서"/>
      <sheetName val="내역서"/>
      <sheetName val="원가계산"/>
      <sheetName val="순공사비 "/>
      <sheetName val="1.토공"/>
      <sheetName val="2.관접합및부설공"/>
      <sheetName val="3.구조물공(변실)"/>
      <sheetName val="4.부 대 공 "/>
      <sheetName val="단가 산출서"/>
      <sheetName val="관부설공총괄"/>
      <sheetName val="수량계산서"/>
      <sheetName val="수량계산서 "/>
      <sheetName val="배관도"/>
      <sheetName val="정수지 3-4단계 연결공사변경2"/>
    </sheetNames>
    <definedNames>
      <definedName name="단중입력"/>
      <definedName name="프로그램.메인_메뉴호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저"/>
      <sheetName val="내역서(설비+소방)"/>
      <sheetName val="철거산출근거"/>
      <sheetName val="공통가설공사"/>
      <sheetName val="내역서"/>
      <sheetName val="건축공사 분괴표원본데이터(공통+건축)"/>
      <sheetName val="일위대가(건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간접비"/>
      <sheetName val="공사개요"/>
      <sheetName val="견적비교"/>
      <sheetName val="집계"/>
      <sheetName val="unit 4"/>
      <sheetName val="unit 5"/>
      <sheetName val="공용설비"/>
      <sheetName val="계측신설BM"/>
      <sheetName val="계측철거BM"/>
      <sheetName val="견적비교(k)"/>
      <sheetName val="일반공사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직접공사비 내역서(전기)</v>
          </cell>
        </row>
      </sheetData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"/>
      <sheetName val="석골재"/>
      <sheetName val="타일골재"/>
      <sheetName val="조적골재"/>
      <sheetName val="방수골재"/>
      <sheetName val="미장골재"/>
      <sheetName val="합계"/>
      <sheetName val="표지겉"/>
      <sheetName val="공사개요"/>
      <sheetName val="원가"/>
      <sheetName val="총괄집계표"/>
      <sheetName val="공통가설"/>
      <sheetName val="비과세A"/>
      <sheetName val="과세A"/>
      <sheetName val="부대동집계"/>
      <sheetName val="상가"/>
      <sheetName val="부속동"/>
      <sheetName val="조경,부대"/>
      <sheetName val="남양시작동자105노65기1.3화1.2"/>
      <sheetName val="기계설비-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하도급사항"/>
      <sheetName val="직간접비율"/>
      <sheetName val="원가집계"/>
      <sheetName val="투찰가"/>
      <sheetName val="부대원본"/>
      <sheetName val="하도율"/>
      <sheetName val="일괄단가로"/>
      <sheetName val="토공(1)"/>
      <sheetName val="철콘(1)"/>
      <sheetName val="강교"/>
      <sheetName val="Sheet1"/>
      <sheetName val="설계"/>
      <sheetName val="L_RPTB02_01"/>
      <sheetName val="적현로"/>
      <sheetName val="갑지"/>
      <sheetName val="설계변경"/>
      <sheetName val="물량 증.감대비표 (제출)"/>
      <sheetName val="물량 증.감대비표(보관)"/>
      <sheetName val="항목별내역"/>
      <sheetName val="배수지거말목"/>
      <sheetName val="배수지선모래치환"/>
      <sheetName val="배수지거2-1-2포장"/>
      <sheetName val="용수지선답절관"/>
      <sheetName val="용수지거매트"/>
      <sheetName val="배수지거매트"/>
      <sheetName val="용수지선2-1"/>
      <sheetName val="용수지선2-2"/>
      <sheetName val="배수지선2-3"/>
      <sheetName val="배수지선2-3수량산출"/>
      <sheetName val="배수지선2-5"/>
      <sheetName val="배수지선2-5수량산출"/>
      <sheetName val="도로2-3"/>
      <sheetName val="도로2-3수량산출"/>
      <sheetName val="배수지거라인변경"/>
      <sheetName val="면적"/>
      <sheetName val="노선토적계산서양식"/>
    </sheetNames>
    <definedNames>
      <definedName name="메인_메뉴호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갑지"/>
      <sheetName val="남양시작동010313100%"/>
      <sheetName val="남양시작동010313 (2)"/>
      <sheetName val="투찰가"/>
    </sheetNames>
    <sheetDataSet>
      <sheetData sheetId="0" refreshError="1"/>
      <sheetData sheetId="1" refreshError="1"/>
      <sheetData sheetId="2">
        <row r="2">
          <cell r="A2" t="str">
            <v xml:space="preserve"> 공 사 명 : 남양연구소 파워트레인시작동 신축기계설비공사</v>
          </cell>
        </row>
      </sheetData>
      <sheetData sheetId="3" refreshError="1"/>
      <sheetData sheetId="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예가 (2)"/>
      <sheetName val="통보서"/>
      <sheetName val="산출명세서"/>
      <sheetName val="설계서"/>
      <sheetName val="설치품셈표"/>
      <sheetName val="수량총괄"/>
      <sheetName val="남양시작동010313100%"/>
      <sheetName val="사택조명"/>
      <sheetName val="단가 (2)"/>
      <sheetName val="덕전리"/>
      <sheetName val="Macro3"/>
      <sheetName val="Sheet1 (2)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증금(전신전화가입권)"/>
      <sheetName val="표지"/>
      <sheetName val="결산명세수합및점검"/>
      <sheetName val="목차"/>
      <sheetName val="현금시재표"/>
      <sheetName val="예금명세서"/>
      <sheetName val="외화예금"/>
      <sheetName val="유가증권명세서"/>
      <sheetName val="채권집계"/>
      <sheetName val="재고자산명세서"/>
      <sheetName val="장기성예금"/>
      <sheetName val="투자유가증권"/>
      <sheetName val="출자금명세서"/>
      <sheetName val="관계회사주식명세서"/>
      <sheetName val="유전개발자금"/>
      <sheetName val="특정현금과예금"/>
      <sheetName val="관계회사장기대여금"/>
      <sheetName val="장기대여금"/>
      <sheetName val="보증금(임차보증금외)"/>
      <sheetName val="단체퇴직명세서"/>
      <sheetName val="유형고정자산"/>
      <sheetName val="무형고정자산"/>
      <sheetName val="광업권"/>
      <sheetName val="이연자산"/>
      <sheetName val="이연부채"/>
      <sheetName val="채무명세집계"/>
      <sheetName val="매입채무명세서"/>
      <sheetName val="단기채무명세서"/>
      <sheetName val="수입보증금"/>
      <sheetName val="미지급법인세"/>
      <sheetName val="사채명세서"/>
      <sheetName val="장기채무명세서"/>
      <sheetName val="장기어음미지급금"/>
      <sheetName val="충당금명세"/>
      <sheetName val="자본금"/>
      <sheetName val="자본잉여금"/>
      <sheetName val="이익잉여금"/>
      <sheetName val="매출액"/>
      <sheetName val="매출원가명세서"/>
      <sheetName val="제조원가명세서"/>
      <sheetName val="정비원가명세서"/>
      <sheetName val="공사원가명세서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보험가입자산"/>
      <sheetName val="담보자산"/>
      <sheetName val="선급비용집계표"/>
      <sheetName val="수출입보증금"/>
      <sheetName val="국민연금퇴직전환금"/>
      <sheetName val="Menu_Link"/>
      <sheetName val="H"/>
      <sheetName val="배서어음명세서"/>
      <sheetName val="보증금_전신전화가입권_"/>
      <sheetName val="개인별현황"/>
      <sheetName val="24.보증금(전신전화가입권)"/>
      <sheetName val="경쟁실분"/>
      <sheetName val="24_보증금_전신전화가입권_"/>
      <sheetName val="코드"/>
      <sheetName val="미착기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"/>
      <sheetName val="현금등가"/>
      <sheetName val="단기금융 "/>
      <sheetName val="유가증권"/>
      <sheetName val="받을어음"/>
      <sheetName val="미수수익"/>
      <sheetName val="장기금융"/>
      <sheetName val="선수수익"/>
      <sheetName val="장기대여"/>
      <sheetName val="유동성장기"/>
      <sheetName val="장기 외화 ㅇ"/>
      <sheetName val="미지급금 ㅇ"/>
      <sheetName val="유동사채"/>
      <sheetName val="유동사채할인"/>
      <sheetName val="교환사채 "/>
      <sheetName val="교환사채할인 "/>
      <sheetName val="미지급명세"/>
      <sheetName val="장기차입"/>
      <sheetName val="외화장기"/>
      <sheetName val="영업외수익"/>
      <sheetName val="영업외비용"/>
      <sheetName val="95하U$가격"/>
      <sheetName val="보증금(전신전화가입권)"/>
      <sheetName val="추정원가"/>
      <sheetName val="대차대조표"/>
    </sheetNames>
    <sheetDataSet>
      <sheetData sheetId="0">
        <row r="4">
          <cell r="C4">
            <v>4.7500000000000001E-2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중앙)"/>
      <sheetName val="총괄(중앙)"/>
      <sheetName val="내역(중앙)"/>
      <sheetName val="표지(창신)"/>
      <sheetName val="총괄(창신)"/>
      <sheetName val="내역(창신)"/>
      <sheetName val="설계"/>
    </sheetNames>
    <sheetDataSet>
      <sheetData sheetId="0"/>
      <sheetData sheetId="1"/>
      <sheetData sheetId="2">
        <row r="3">
          <cell r="H3">
            <v>263160930</v>
          </cell>
        </row>
      </sheetData>
      <sheetData sheetId="3"/>
      <sheetData sheetId="4"/>
      <sheetData sheetId="5">
        <row r="12">
          <cell r="H12">
            <v>1496000000</v>
          </cell>
        </row>
      </sheetData>
      <sheetData sheetId="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_원가코드현업"/>
      <sheetName val="예산내역코드-공사"/>
      <sheetName val="외주기성코드"/>
      <sheetName val="배관자재-자재과코드사용하기로함"/>
      <sheetName val="내역(중앙)"/>
      <sheetName val="내역(창신)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1산출"/>
      <sheetName val="1집계"/>
      <sheetName val="1기자재비"/>
      <sheetName val="2산출"/>
      <sheetName val="2집계"/>
      <sheetName val="2기자재비"/>
      <sheetName val="Sheet1"/>
      <sheetName val="Sheet2"/>
      <sheetName val="Sheet3"/>
      <sheetName val="내역(중앙)"/>
      <sheetName val="내역(창신)"/>
      <sheetName val="배관자재-자재과코드사용하기로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3"/>
      <sheetName val="Module4"/>
      <sheetName val="1"/>
      <sheetName val="도움말"/>
      <sheetName val="사용설명"/>
      <sheetName val="기타경비산출근거"/>
      <sheetName val="갑지"/>
      <sheetName val="원가계산기준"/>
      <sheetName val="갑지인쇄"/>
      <sheetName val="공사비내역서"/>
      <sheetName val="일반자재단가"/>
      <sheetName val="중기가격"/>
      <sheetName val="중기산출"/>
      <sheetName val="노임단가"/>
      <sheetName val="시중노임인쇄"/>
      <sheetName val="Dialog2"/>
      <sheetName val="TW"/>
      <sheetName val="BW"/>
      <sheetName val="UW"/>
      <sheetName val="GJ"/>
      <sheetName val="PJ"/>
      <sheetName val="BD"/>
      <sheetName val="CODE"/>
      <sheetName val="Dialog4"/>
      <sheetName val="Dialog5"/>
      <sheetName val="Dialog6"/>
      <sheetName val="Dialog7"/>
      <sheetName val="Dialog8"/>
      <sheetName val="Dialog9"/>
      <sheetName val="Dialog10"/>
      <sheetName val="목록보기"/>
      <sheetName val="초기"/>
      <sheetName val="토공목차"/>
      <sheetName val="법면목차"/>
      <sheetName val="배수공목차"/>
      <sheetName val="구조물공목차"/>
      <sheetName val="포장공목차"/>
      <sheetName val="부대공목차"/>
      <sheetName val="토공"/>
      <sheetName val="법면"/>
      <sheetName val="배수공1"/>
      <sheetName val="포장공"/>
      <sheetName val="구조물공"/>
      <sheetName val="부대공"/>
      <sheetName val="중기일위대가"/>
      <sheetName val="중기일위대가목록인쇄"/>
      <sheetName val="예정공정표"/>
      <sheetName val="일위대가표"/>
      <sheetName val="산출내역서집계표"/>
      <sheetName val="실행내역"/>
      <sheetName val="2.1  노무비 평균단가산출"/>
      <sheetName val="일위대가(가설)"/>
      <sheetName val="4차원가계산서"/>
      <sheetName val="내역"/>
      <sheetName val="견적"/>
      <sheetName val="실행"/>
      <sheetName val="공비대비"/>
      <sheetName val="토목"/>
      <sheetName val="table"/>
      <sheetName val="목록"/>
      <sheetName val="중기"/>
      <sheetName val="단중표"/>
      <sheetName val="건설내역"/>
      <sheetName val="콘_재료분리(1)"/>
      <sheetName val="을지"/>
      <sheetName val="조직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내역"/>
      <sheetName val="소방총괄"/>
      <sheetName val="Sheet1"/>
      <sheetName val="소방내역"/>
      <sheetName val="중기일위대가"/>
      <sheetName val="밸브설치"/>
      <sheetName val="내역"/>
      <sheetName val="공비대비"/>
      <sheetName val="목록"/>
      <sheetName val="적현로"/>
      <sheetName val="현장관리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기본계획"/>
      <sheetName val="기본계획 (2)"/>
      <sheetName val="관로종합명세"/>
      <sheetName val="인입관및시설투자"/>
      <sheetName val="현황"/>
      <sheetName val="현황 (실천사업계획기준)"/>
      <sheetName val="차수별현황"/>
      <sheetName val="공무팀_기본계획"/>
    </sheetNames>
    <sheetDataSet>
      <sheetData sheetId="0" refreshError="1"/>
      <sheetData sheetId="1" refreshError="1"/>
      <sheetData sheetId="2" refreshError="1">
        <row r="5">
          <cell r="H5">
            <v>4272864219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총지"/>
      <sheetName val="내지"/>
      <sheetName val="총괄"/>
      <sheetName val="입찰안"/>
      <sheetName val="적격"/>
      <sheetName val="평가"/>
      <sheetName val="적정"/>
      <sheetName val="표지"/>
      <sheetName val="원가"/>
      <sheetName val="관리"/>
      <sheetName val="하도"/>
      <sheetName val="별지"/>
      <sheetName val="토공"/>
      <sheetName val="의뢰"/>
      <sheetName val="견적"/>
      <sheetName val="AS"/>
      <sheetName val="조사"/>
      <sheetName val="합의서"/>
      <sheetName val="자료"/>
      <sheetName val="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투찰"/>
      <sheetName val="1공구(토)"/>
      <sheetName val="1공구(구)"/>
      <sheetName val="1공구(구) (2)"/>
      <sheetName val="2공구(토)"/>
      <sheetName val="2공구(구)"/>
      <sheetName val="3공구(토)"/>
      <sheetName val="3공구(구)"/>
      <sheetName val="하도급사항"/>
      <sheetName val="1공구자재"/>
      <sheetName val="2공구자재"/>
      <sheetName val="3공구자재"/>
      <sheetName val="전기공사"/>
      <sheetName val="품셈TABLE"/>
      <sheetName val="연습"/>
      <sheetName val="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기요금기준"/>
      <sheetName val="주택용전기요금"/>
      <sheetName val="계약종별전기요금"/>
      <sheetName val="전기요금합계"/>
    </sheetNames>
    <sheetDataSet>
      <sheetData sheetId="0"/>
      <sheetData sheetId="1">
        <row r="189">
          <cell r="J189">
            <v>812052836.55763614</v>
          </cell>
        </row>
      </sheetData>
      <sheetData sheetId="2"/>
      <sheetData sheetId="3">
        <row r="29">
          <cell r="C29">
            <v>32508552.479607821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발계획"/>
      <sheetName val="분석기준"/>
      <sheetName val="열공급규모"/>
      <sheetName val="전력공급규모"/>
      <sheetName val="시설계획"/>
      <sheetName val="투자비"/>
      <sheetName val="손익계산"/>
      <sheetName val="판매계획"/>
      <sheetName val="감가상각비"/>
      <sheetName val="제조원가"/>
      <sheetName val="자금조달"/>
      <sheetName val="현금유출입"/>
      <sheetName val="열부하"/>
      <sheetName val="전력부하"/>
      <sheetName val="생산계획"/>
      <sheetName val="챠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내역서-설비"/>
      <sheetName val="관급"/>
      <sheetName val="IT-BAT"/>
      <sheetName val="Sheet6"/>
      <sheetName val="신고조서"/>
      <sheetName val="대치판정"/>
      <sheetName val="배수관공"/>
      <sheetName val="VXXXXX"/>
      <sheetName val="산출내역서"/>
      <sheetName val="원가계산서"/>
      <sheetName val="아산503"/>
      <sheetName val="시행예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직간접비율"/>
      <sheetName val="하도율"/>
      <sheetName val="원가집계"/>
      <sheetName val="투찰내역"/>
      <sheetName val="하도급사항"/>
      <sheetName val="토 공"/>
      <sheetName val="터널토공"/>
      <sheetName val="터널구조물공"/>
      <sheetName val="내역서-설비"/>
      <sheetName val="원가계산서"/>
      <sheetName val="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제경비"/>
      <sheetName val="제경비 (2)"/>
      <sheetName val="공사원가계산서"/>
      <sheetName val="총괄표"/>
      <sheetName val="전기실"/>
      <sheetName val="전력간선"/>
      <sheetName val="전등전열"/>
      <sheetName val="동력설비"/>
      <sheetName val="인근환기실"/>
      <sheetName val="청원전력공사"/>
      <sheetName val="본선조명"/>
      <sheetName val="기타설비"/>
      <sheetName val="단위가격_목록"/>
      <sheetName val="일위대가"/>
      <sheetName val="노무비"/>
      <sheetName val="기성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3">
          <cell r="B3" t="str">
            <v>전 공</v>
          </cell>
        </row>
      </sheetData>
      <sheetData sheetId="1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흑표지"/>
      <sheetName val="사업계획요약"/>
      <sheetName val="표지"/>
      <sheetName val="사업개요"/>
      <sheetName val="계획총괄"/>
      <sheetName val="공사구간명세"/>
      <sheetName val="월별계획"/>
      <sheetName val="할증구간명세"/>
      <sheetName val="신규투자"/>
      <sheetName val="인상계획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A7">
            <v>909000</v>
          </cell>
          <cell r="B7">
            <v>727200</v>
          </cell>
          <cell r="C7">
            <v>599100</v>
          </cell>
          <cell r="D7">
            <v>506500</v>
          </cell>
          <cell r="E7">
            <v>586300</v>
          </cell>
          <cell r="F7">
            <v>666000</v>
          </cell>
          <cell r="G7">
            <v>527600</v>
          </cell>
          <cell r="H7">
            <v>431100</v>
          </cell>
          <cell r="I7">
            <v>369800</v>
          </cell>
          <cell r="J7">
            <v>341200</v>
          </cell>
          <cell r="K7">
            <v>341200</v>
          </cell>
          <cell r="L7">
            <v>341200</v>
          </cell>
          <cell r="M7">
            <v>608600</v>
          </cell>
          <cell r="N7">
            <v>512400</v>
          </cell>
          <cell r="O7">
            <v>427200</v>
          </cell>
          <cell r="P7">
            <v>377200</v>
          </cell>
          <cell r="Q7">
            <v>325500</v>
          </cell>
          <cell r="R7">
            <v>325500</v>
          </cell>
          <cell r="S7">
            <v>325500</v>
          </cell>
          <cell r="T7">
            <v>325500</v>
          </cell>
          <cell r="U7">
            <v>325500</v>
          </cell>
        </row>
      </sheetData>
      <sheetData sheetId="11" refreshError="1"/>
      <sheetData sheetId="1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참가통지서"/>
      <sheetName val="입찰서"/>
      <sheetName val="금액산정기준"/>
      <sheetName val="공사비내역"/>
      <sheetName val="품의서양식"/>
      <sheetName val="계약내역 (도급)"/>
      <sheetName val="특약사항"/>
      <sheetName val="계약내역"/>
      <sheetName val="열수송관내역(수정)"/>
      <sheetName val="원가계약서"/>
      <sheetName val="열수송관내역"/>
      <sheetName val="자료"/>
      <sheetName val="원가계약서(수정)"/>
      <sheetName val="노무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장항INV"/>
      <sheetName val="CM 1"/>
    </sheetNames>
    <sheetDataSet>
      <sheetData sheetId="0" refreshError="1"/>
      <sheetData sheetId="1"/>
      <sheetData sheetId="2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 집계표"/>
      <sheetName val="1. 전기기기"/>
      <sheetName val="2. CABLE"/>
      <sheetName val="3. CABLE TRAY"/>
      <sheetName val="4. 전선관"/>
      <sheetName val="5. 조명설비"/>
      <sheetName val="6. 통신설비공사"/>
      <sheetName val="7. 접지공사"/>
      <sheetName val="8. 소방"/>
      <sheetName val="9. HT공사"/>
      <sheetName val="10. 공사용"/>
      <sheetName val="11. 철거"/>
      <sheetName val="12.일위대가"/>
      <sheetName val="13 노임단가"/>
      <sheetName val="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94">
          <cell r="K94">
            <v>10720</v>
          </cell>
        </row>
      </sheetData>
      <sheetData sheetId="13"/>
      <sheetData sheetId="1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0. 집계표"/>
      <sheetName val="1. 전기기기"/>
      <sheetName val="2. CABLE"/>
      <sheetName val="3. CABLE TRAY"/>
      <sheetName val="4. 전선관"/>
      <sheetName val="5. 조명설비"/>
      <sheetName val="6. 통신설비공사"/>
      <sheetName val="7. 접지공사"/>
      <sheetName val="8. 소방"/>
      <sheetName val="9. HT공사"/>
      <sheetName val="10. 공사용"/>
      <sheetName val="11. 철거"/>
      <sheetName val="12.일위대가"/>
      <sheetName val="13 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계획서"/>
      <sheetName val="공사개요"/>
      <sheetName val="간접"/>
      <sheetName val="12.일위대가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"/>
      <sheetName val="갑지"/>
      <sheetName val="남양시작동자105노65기1.3화1.2"/>
      <sheetName val="남양시작동자105노65기1.3화1.2 (노무비)"/>
      <sheetName val="갑지 (2)"/>
      <sheetName val="남양시작동자105노65기1.3화1.2 (노무비) (2)"/>
      <sheetName val="unit 4"/>
    </sheetNames>
    <sheetDataSet>
      <sheetData sheetId="0" refreshError="1"/>
      <sheetData sheetId="1" refreshError="1"/>
      <sheetData sheetId="2">
        <row r="2">
          <cell r="A2" t="str">
            <v xml:space="preserve"> 공 사 명 : 남양연구소 파워트레인시작동 신축기계설비공사</v>
          </cell>
        </row>
      </sheetData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선금급 공제액산출표"/>
      <sheetName val="(1.조정내역 총괄표)"/>
      <sheetName val="(4.계수산출서)"/>
      <sheetName val="옆면"/>
      <sheetName val="표지"/>
      <sheetName val="딱지"/>
      <sheetName val="목차"/>
      <sheetName val="간지"/>
      <sheetName val="간지(2)"/>
      <sheetName val="2.조정율 산출보고"/>
      <sheetName val="2.조정율 산출보고 (2)"/>
      <sheetName val="3.K치"/>
      <sheetName val="내역서양식토목 "/>
      <sheetName val="1).생산자물가 기본분류지수"/>
      <sheetName val="2).노무비 지수"/>
      <sheetName val="2.1  노무비 평균단가산출"/>
      <sheetName val="3).기계경비지수"/>
      <sheetName val="3.1  96장비가격산출"/>
      <sheetName val="4).산재보험료지수"/>
      <sheetName val="5). 안전관리비 지수"/>
      <sheetName val="5.1) 안전관리비 지수"/>
      <sheetName val="6). 기타비목군 지수"/>
      <sheetName val="내역서양식토목1 "/>
      <sheetName val="간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.1  노무비 평균단가산출"/>
      <sheetName val="내역서"/>
      <sheetName val="동방설계서"/>
      <sheetName val="기초자료입력"/>
      <sheetName val="#REF"/>
      <sheetName val="당진1,2호기전선관설치및접지4차공사내역서-을지"/>
      <sheetName val="대포2교접속"/>
      <sheetName val="천방교접속"/>
      <sheetName val="SH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EQUIPMENT LIST"/>
      <sheetName val="기계설비 목록"/>
      <sheetName val="1. 가압장 및 펌프설비"/>
      <sheetName val="2. 밸브설비"/>
      <sheetName val="3. 정수기기 및 DAF 설비"/>
      <sheetName val="4. 약품주입 및 염소소독설비"/>
      <sheetName val="5. 탈수설비"/>
      <sheetName val="6. 도급 기자재설비"/>
      <sheetName val="8. 장래분(Future)"/>
      <sheetName val="BOQ 장비별"/>
      <sheetName val="정수설비"/>
      <sheetName val="2000년1차"/>
      <sheetName val="2000전체분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서비스별"/>
      <sheetName val="월별"/>
      <sheetName val="부서별"/>
      <sheetName val="월별(05년)"/>
      <sheetName val="월별(06년)"/>
    </sheetNames>
    <sheetDataSet>
      <sheetData sheetId="0" refreshError="1"/>
      <sheetData sheetId="1" refreshError="1"/>
      <sheetData sheetId="2" refreshError="1">
        <row r="31">
          <cell r="D31">
            <v>6547723645</v>
          </cell>
          <cell r="E31">
            <v>1267547546</v>
          </cell>
          <cell r="F31">
            <v>949581057</v>
          </cell>
          <cell r="G31">
            <v>921888005</v>
          </cell>
          <cell r="H31">
            <v>1380201886</v>
          </cell>
          <cell r="I31">
            <v>365518448</v>
          </cell>
          <cell r="J31">
            <v>1126553774</v>
          </cell>
          <cell r="K31">
            <v>368863750</v>
          </cell>
          <cell r="L31">
            <v>147037844</v>
          </cell>
          <cell r="M31">
            <v>0</v>
          </cell>
          <cell r="N31">
            <v>0</v>
          </cell>
          <cell r="O31">
            <v>0</v>
          </cell>
        </row>
        <row r="32">
          <cell r="D32">
            <v>6527192310</v>
          </cell>
          <cell r="E32">
            <v>1267547546</v>
          </cell>
          <cell r="F32">
            <v>949581057</v>
          </cell>
          <cell r="G32">
            <v>921888005</v>
          </cell>
          <cell r="H32">
            <v>1380201886</v>
          </cell>
          <cell r="I32">
            <v>365518448</v>
          </cell>
          <cell r="J32">
            <v>1126553774</v>
          </cell>
          <cell r="K32">
            <v>368863750</v>
          </cell>
          <cell r="L32">
            <v>147037844</v>
          </cell>
          <cell r="M32">
            <v>0</v>
          </cell>
          <cell r="N32">
            <v>0</v>
          </cell>
          <cell r="O32">
            <v>0</v>
          </cell>
        </row>
        <row r="33">
          <cell r="D33">
            <v>6527192310</v>
          </cell>
          <cell r="E33">
            <v>1267547546</v>
          </cell>
          <cell r="F33">
            <v>949581057</v>
          </cell>
          <cell r="G33">
            <v>921888005</v>
          </cell>
          <cell r="H33">
            <v>1380201886</v>
          </cell>
          <cell r="I33">
            <v>365518448</v>
          </cell>
          <cell r="J33">
            <v>1126553774</v>
          </cell>
          <cell r="K33">
            <v>368863750</v>
          </cell>
          <cell r="L33">
            <v>147037844</v>
          </cell>
          <cell r="M33">
            <v>0</v>
          </cell>
          <cell r="N33">
            <v>0</v>
          </cell>
          <cell r="O33">
            <v>0</v>
          </cell>
        </row>
        <row r="34">
          <cell r="D34">
            <v>9386524163</v>
          </cell>
          <cell r="E34">
            <v>1838516396</v>
          </cell>
          <cell r="F34">
            <v>1332864063</v>
          </cell>
          <cell r="G34">
            <v>1209255092</v>
          </cell>
          <cell r="H34">
            <v>2002795672</v>
          </cell>
          <cell r="I34">
            <v>549383408</v>
          </cell>
          <cell r="J34">
            <v>1690490637</v>
          </cell>
          <cell r="K34">
            <v>543906907</v>
          </cell>
          <cell r="L34">
            <v>219311988</v>
          </cell>
          <cell r="M34">
            <v>0</v>
          </cell>
          <cell r="N34">
            <v>0</v>
          </cell>
          <cell r="O34">
            <v>0</v>
          </cell>
        </row>
        <row r="35">
          <cell r="D35">
            <v>-3106350486</v>
          </cell>
          <cell r="E35">
            <v>-604795436</v>
          </cell>
          <cell r="F35">
            <v>-437647457</v>
          </cell>
          <cell r="G35">
            <v>-389773883</v>
          </cell>
          <cell r="H35">
            <v>-667686153</v>
          </cell>
          <cell r="I35">
            <v>-190673288</v>
          </cell>
          <cell r="J35">
            <v>-565622995</v>
          </cell>
          <cell r="K35">
            <v>-178510201</v>
          </cell>
          <cell r="L35">
            <v>-71641073</v>
          </cell>
          <cell r="M35">
            <v>0</v>
          </cell>
          <cell r="N35">
            <v>0</v>
          </cell>
          <cell r="O35">
            <v>0</v>
          </cell>
        </row>
        <row r="36">
          <cell r="D36">
            <v>-144136867</v>
          </cell>
          <cell r="E36">
            <v>-26958664</v>
          </cell>
          <cell r="F36">
            <v>-29302549</v>
          </cell>
          <cell r="G36">
            <v>-10365954</v>
          </cell>
          <cell r="H36">
            <v>-26926133</v>
          </cell>
          <cell r="I36">
            <v>-5984422</v>
          </cell>
          <cell r="J36">
            <v>-33037618</v>
          </cell>
          <cell r="K36">
            <v>-7957706</v>
          </cell>
          <cell r="L36">
            <v>-3603821</v>
          </cell>
          <cell r="M36">
            <v>0</v>
          </cell>
          <cell r="N36">
            <v>0</v>
          </cell>
          <cell r="O36">
            <v>0</v>
          </cell>
        </row>
        <row r="37">
          <cell r="D37">
            <v>391155500</v>
          </cell>
          <cell r="E37">
            <v>60785250</v>
          </cell>
          <cell r="F37">
            <v>83667000</v>
          </cell>
          <cell r="G37">
            <v>112772750</v>
          </cell>
          <cell r="H37">
            <v>72018500</v>
          </cell>
          <cell r="I37">
            <v>12792750</v>
          </cell>
          <cell r="J37">
            <v>34723750</v>
          </cell>
          <cell r="K37">
            <v>11424750</v>
          </cell>
          <cell r="L37">
            <v>2970750</v>
          </cell>
          <cell r="M37">
            <v>0</v>
          </cell>
          <cell r="N37">
            <v>0</v>
          </cell>
          <cell r="O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D45">
            <v>20531335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>
            <v>7333707217</v>
          </cell>
          <cell r="E46">
            <v>1350007712</v>
          </cell>
          <cell r="F46">
            <v>1027093667</v>
          </cell>
          <cell r="G46">
            <v>1031235037</v>
          </cell>
          <cell r="H46">
            <v>1406247094</v>
          </cell>
          <cell r="I46">
            <v>469933738</v>
          </cell>
          <cell r="J46">
            <v>1253502985</v>
          </cell>
          <cell r="K46">
            <v>539957344</v>
          </cell>
          <cell r="L46">
            <v>207610490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7333707217</v>
          </cell>
          <cell r="E47">
            <v>1350007712</v>
          </cell>
          <cell r="F47">
            <v>1027093667</v>
          </cell>
          <cell r="G47">
            <v>1031235037</v>
          </cell>
          <cell r="H47">
            <v>1406247094</v>
          </cell>
          <cell r="I47">
            <v>469933738</v>
          </cell>
          <cell r="J47">
            <v>1253502985</v>
          </cell>
          <cell r="K47">
            <v>539957344</v>
          </cell>
          <cell r="L47">
            <v>207610490</v>
          </cell>
          <cell r="M47">
            <v>0</v>
          </cell>
          <cell r="N47">
            <v>0</v>
          </cell>
          <cell r="O47">
            <v>0</v>
          </cell>
        </row>
        <row r="48">
          <cell r="D48">
            <v>594029507</v>
          </cell>
          <cell r="E48">
            <v>92254348</v>
          </cell>
          <cell r="F48">
            <v>89072226</v>
          </cell>
          <cell r="G48">
            <v>77367596</v>
          </cell>
          <cell r="H48">
            <v>118603645</v>
          </cell>
          <cell r="I48">
            <v>46701842</v>
          </cell>
          <cell r="J48">
            <v>94237399</v>
          </cell>
          <cell r="K48">
            <v>55216265</v>
          </cell>
          <cell r="L48">
            <v>20576186</v>
          </cell>
          <cell r="M48">
            <v>0</v>
          </cell>
          <cell r="N48">
            <v>0</v>
          </cell>
          <cell r="O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D50">
            <v>264835006</v>
          </cell>
          <cell r="E50">
            <v>37933402</v>
          </cell>
          <cell r="F50">
            <v>40197146</v>
          </cell>
          <cell r="G50">
            <v>36035330</v>
          </cell>
          <cell r="H50">
            <v>53514400</v>
          </cell>
          <cell r="I50">
            <v>21910382</v>
          </cell>
          <cell r="J50">
            <v>41457776</v>
          </cell>
          <cell r="K50">
            <v>24212563</v>
          </cell>
          <cell r="L50">
            <v>9574007</v>
          </cell>
          <cell r="M50">
            <v>0</v>
          </cell>
          <cell r="N50">
            <v>0</v>
          </cell>
          <cell r="O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289198145</v>
          </cell>
          <cell r="E52">
            <v>44563523</v>
          </cell>
          <cell r="F52">
            <v>42322726</v>
          </cell>
          <cell r="G52">
            <v>38708135</v>
          </cell>
          <cell r="H52">
            <v>56568697</v>
          </cell>
          <cell r="I52">
            <v>23861267</v>
          </cell>
          <cell r="J52">
            <v>47043200</v>
          </cell>
          <cell r="K52">
            <v>26678650</v>
          </cell>
          <cell r="L52">
            <v>9451947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39996356</v>
          </cell>
          <cell r="E53">
            <v>9757423</v>
          </cell>
          <cell r="F53">
            <v>6552354</v>
          </cell>
          <cell r="G53">
            <v>2624131</v>
          </cell>
          <cell r="H53">
            <v>8520548</v>
          </cell>
          <cell r="I53">
            <v>930193</v>
          </cell>
          <cell r="J53">
            <v>5736423</v>
          </cell>
          <cell r="K53">
            <v>4325052</v>
          </cell>
          <cell r="L53">
            <v>1550232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233472408</v>
          </cell>
          <cell r="E54">
            <v>35283091</v>
          </cell>
          <cell r="F54">
            <v>32040896</v>
          </cell>
          <cell r="G54">
            <v>31478306</v>
          </cell>
          <cell r="H54">
            <v>47736084</v>
          </cell>
          <cell r="I54">
            <v>19205643</v>
          </cell>
          <cell r="J54">
            <v>39228829</v>
          </cell>
          <cell r="K54">
            <v>20914440</v>
          </cell>
          <cell r="L54">
            <v>7585119</v>
          </cell>
          <cell r="M54">
            <v>0</v>
          </cell>
          <cell r="N54">
            <v>0</v>
          </cell>
          <cell r="O54">
            <v>0</v>
          </cell>
        </row>
        <row r="55">
          <cell r="D55">
            <v>233472408</v>
          </cell>
          <cell r="E55">
            <v>35283091</v>
          </cell>
          <cell r="F55">
            <v>32040896</v>
          </cell>
          <cell r="G55">
            <v>31478306</v>
          </cell>
          <cell r="H55">
            <v>47736084</v>
          </cell>
          <cell r="I55">
            <v>19205643</v>
          </cell>
          <cell r="J55">
            <v>39228829</v>
          </cell>
          <cell r="K55">
            <v>20914440</v>
          </cell>
          <cell r="L55">
            <v>7585119</v>
          </cell>
          <cell r="M55">
            <v>0</v>
          </cell>
          <cell r="N55">
            <v>0</v>
          </cell>
          <cell r="O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34363968</v>
          </cell>
          <cell r="E57">
            <v>4789763</v>
          </cell>
          <cell r="F57">
            <v>4634956</v>
          </cell>
          <cell r="G57">
            <v>5042089</v>
          </cell>
          <cell r="H57">
            <v>7666590</v>
          </cell>
          <cell r="I57">
            <v>2738596</v>
          </cell>
          <cell r="J57">
            <v>5115474</v>
          </cell>
          <cell r="K57">
            <v>3140130</v>
          </cell>
          <cell r="L57">
            <v>1236370</v>
          </cell>
          <cell r="M57">
            <v>0</v>
          </cell>
          <cell r="N57">
            <v>0</v>
          </cell>
          <cell r="O57">
            <v>0</v>
          </cell>
        </row>
        <row r="58">
          <cell r="D58">
            <v>11396587</v>
          </cell>
          <cell r="E58">
            <v>1719188</v>
          </cell>
          <cell r="F58">
            <v>1763252</v>
          </cell>
          <cell r="G58">
            <v>1401490</v>
          </cell>
          <cell r="H58">
            <v>2323190</v>
          </cell>
          <cell r="I58">
            <v>871206</v>
          </cell>
          <cell r="J58">
            <v>1824626</v>
          </cell>
          <cell r="K58">
            <v>1037288</v>
          </cell>
          <cell r="L58">
            <v>456347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9202226</v>
          </cell>
          <cell r="E59">
            <v>1416769</v>
          </cell>
          <cell r="F59">
            <v>1386324</v>
          </cell>
          <cell r="G59">
            <v>1196478</v>
          </cell>
          <cell r="H59">
            <v>1785377</v>
          </cell>
          <cell r="I59">
            <v>744451</v>
          </cell>
          <cell r="J59">
            <v>1495941</v>
          </cell>
          <cell r="K59">
            <v>857778</v>
          </cell>
          <cell r="L59">
            <v>319108</v>
          </cell>
          <cell r="M59">
            <v>0</v>
          </cell>
          <cell r="N59">
            <v>0</v>
          </cell>
          <cell r="O59">
            <v>0</v>
          </cell>
        </row>
        <row r="60">
          <cell r="D60">
            <v>3159958</v>
          </cell>
          <cell r="E60">
            <v>497107</v>
          </cell>
          <cell r="F60">
            <v>486425</v>
          </cell>
          <cell r="G60">
            <v>381050</v>
          </cell>
          <cell r="H60">
            <v>626447</v>
          </cell>
          <cell r="I60">
            <v>261207</v>
          </cell>
          <cell r="J60">
            <v>524888</v>
          </cell>
          <cell r="K60">
            <v>280506</v>
          </cell>
          <cell r="L60">
            <v>102328</v>
          </cell>
          <cell r="M60">
            <v>0</v>
          </cell>
          <cell r="N60">
            <v>0</v>
          </cell>
          <cell r="O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5749131</v>
          </cell>
          <cell r="E63">
            <v>357901</v>
          </cell>
          <cell r="F63">
            <v>399838</v>
          </cell>
          <cell r="G63">
            <v>1469059</v>
          </cell>
          <cell r="H63">
            <v>1512881</v>
          </cell>
          <cell r="I63">
            <v>548143</v>
          </cell>
          <cell r="J63">
            <v>613383</v>
          </cell>
          <cell r="K63">
            <v>617091</v>
          </cell>
          <cell r="L63">
            <v>230835</v>
          </cell>
          <cell r="M63">
            <v>0</v>
          </cell>
          <cell r="N63">
            <v>0</v>
          </cell>
          <cell r="O63">
            <v>0</v>
          </cell>
        </row>
        <row r="64">
          <cell r="D64">
            <v>1969590</v>
          </cell>
          <cell r="E64">
            <v>311100</v>
          </cell>
          <cell r="F64">
            <v>276841</v>
          </cell>
          <cell r="G64">
            <v>264204</v>
          </cell>
          <cell r="H64">
            <v>409217</v>
          </cell>
          <cell r="I64">
            <v>162238</v>
          </cell>
          <cell r="J64">
            <v>309313</v>
          </cell>
          <cell r="K64">
            <v>174448</v>
          </cell>
          <cell r="L64">
            <v>62229</v>
          </cell>
          <cell r="M64">
            <v>0</v>
          </cell>
          <cell r="N64">
            <v>0</v>
          </cell>
          <cell r="O64">
            <v>0</v>
          </cell>
        </row>
        <row r="65">
          <cell r="D65">
            <v>1035246</v>
          </cell>
          <cell r="E65">
            <v>173708</v>
          </cell>
          <cell r="F65">
            <v>171695</v>
          </cell>
          <cell r="G65">
            <v>138222</v>
          </cell>
          <cell r="H65">
            <v>201043</v>
          </cell>
          <cell r="I65">
            <v>72963</v>
          </cell>
          <cell r="J65">
            <v>158371</v>
          </cell>
          <cell r="K65">
            <v>86488</v>
          </cell>
          <cell r="L65">
            <v>32756</v>
          </cell>
          <cell r="M65">
            <v>0</v>
          </cell>
          <cell r="N65">
            <v>0</v>
          </cell>
          <cell r="O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D67">
            <v>259841</v>
          </cell>
          <cell r="E67">
            <v>39143</v>
          </cell>
          <cell r="F67">
            <v>28376</v>
          </cell>
          <cell r="G67">
            <v>25745</v>
          </cell>
          <cell r="H67">
            <v>42642</v>
          </cell>
          <cell r="I67">
            <v>11695</v>
          </cell>
          <cell r="J67">
            <v>95973</v>
          </cell>
          <cell r="K67">
            <v>11578</v>
          </cell>
          <cell r="L67">
            <v>4689</v>
          </cell>
          <cell r="M67">
            <v>0</v>
          </cell>
          <cell r="N67">
            <v>0</v>
          </cell>
          <cell r="O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D71">
            <v>56324</v>
          </cell>
          <cell r="E71">
            <v>14151</v>
          </cell>
          <cell r="F71">
            <v>0</v>
          </cell>
          <cell r="G71">
            <v>0</v>
          </cell>
          <cell r="H71">
            <v>25007</v>
          </cell>
          <cell r="I71">
            <v>11379</v>
          </cell>
          <cell r="J71">
            <v>0</v>
          </cell>
          <cell r="K71">
            <v>0</v>
          </cell>
          <cell r="L71">
            <v>5787</v>
          </cell>
          <cell r="M71">
            <v>0</v>
          </cell>
          <cell r="N71">
            <v>0</v>
          </cell>
          <cell r="O71">
            <v>0</v>
          </cell>
        </row>
        <row r="72">
          <cell r="D72">
            <v>494694</v>
          </cell>
          <cell r="E72">
            <v>62696</v>
          </cell>
          <cell r="F72">
            <v>98205</v>
          </cell>
          <cell r="G72">
            <v>48841</v>
          </cell>
          <cell r="H72">
            <v>99415</v>
          </cell>
          <cell r="I72">
            <v>43314</v>
          </cell>
          <cell r="J72">
            <v>83979</v>
          </cell>
          <cell r="K72">
            <v>38953</v>
          </cell>
          <cell r="L72">
            <v>19291</v>
          </cell>
          <cell r="M72">
            <v>0</v>
          </cell>
          <cell r="N72">
            <v>0</v>
          </cell>
          <cell r="O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534000</v>
          </cell>
          <cell r="E77">
            <v>198000</v>
          </cell>
          <cell r="F77">
            <v>24000</v>
          </cell>
          <cell r="G77">
            <v>117000</v>
          </cell>
          <cell r="H77">
            <v>135000</v>
          </cell>
          <cell r="I77">
            <v>12000</v>
          </cell>
          <cell r="J77">
            <v>9000</v>
          </cell>
          <cell r="K77">
            <v>36000</v>
          </cell>
          <cell r="L77">
            <v>3000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506371</v>
          </cell>
          <cell r="E80">
            <v>0</v>
          </cell>
          <cell r="F80">
            <v>0</v>
          </cell>
          <cell r="G80">
            <v>0</v>
          </cell>
          <cell r="H80">
            <v>506371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20169228</v>
          </cell>
          <cell r="E81">
            <v>2724326</v>
          </cell>
          <cell r="F81">
            <v>2886880</v>
          </cell>
          <cell r="G81">
            <v>2160065</v>
          </cell>
          <cell r="H81">
            <v>4189492</v>
          </cell>
          <cell r="I81">
            <v>1745224</v>
          </cell>
          <cell r="J81">
            <v>3304219</v>
          </cell>
          <cell r="K81">
            <v>2274452</v>
          </cell>
          <cell r="L81">
            <v>884570</v>
          </cell>
          <cell r="M81">
            <v>0</v>
          </cell>
          <cell r="N81">
            <v>0</v>
          </cell>
          <cell r="O81">
            <v>0</v>
          </cell>
        </row>
        <row r="82">
          <cell r="D82">
            <v>16626836</v>
          </cell>
          <cell r="E82">
            <v>2656277</v>
          </cell>
          <cell r="F82">
            <v>2431166</v>
          </cell>
          <cell r="G82">
            <v>2146577</v>
          </cell>
          <cell r="H82">
            <v>3269226</v>
          </cell>
          <cell r="I82">
            <v>1258195</v>
          </cell>
          <cell r="J82">
            <v>2628702</v>
          </cell>
          <cell r="K82">
            <v>1612154</v>
          </cell>
          <cell r="L82">
            <v>624539</v>
          </cell>
          <cell r="M82">
            <v>0</v>
          </cell>
          <cell r="N82">
            <v>0</v>
          </cell>
          <cell r="O82">
            <v>0</v>
          </cell>
        </row>
        <row r="83">
          <cell r="D83">
            <v>3542392</v>
          </cell>
          <cell r="E83">
            <v>68049</v>
          </cell>
          <cell r="F83">
            <v>455714</v>
          </cell>
          <cell r="G83">
            <v>13488</v>
          </cell>
          <cell r="H83">
            <v>920266</v>
          </cell>
          <cell r="I83">
            <v>487029</v>
          </cell>
          <cell r="J83">
            <v>675517</v>
          </cell>
          <cell r="K83">
            <v>662298</v>
          </cell>
          <cell r="L83">
            <v>260031</v>
          </cell>
          <cell r="M83">
            <v>0</v>
          </cell>
          <cell r="N83">
            <v>0</v>
          </cell>
          <cell r="O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>
            <v>3700121</v>
          </cell>
          <cell r="E85">
            <v>681329</v>
          </cell>
          <cell r="F85">
            <v>469788</v>
          </cell>
          <cell r="G85">
            <v>453630</v>
          </cell>
          <cell r="H85">
            <v>598985</v>
          </cell>
          <cell r="I85">
            <v>243878</v>
          </cell>
          <cell r="J85">
            <v>746806</v>
          </cell>
          <cell r="K85">
            <v>445770</v>
          </cell>
          <cell r="L85">
            <v>59935</v>
          </cell>
          <cell r="M85">
            <v>0</v>
          </cell>
          <cell r="N85">
            <v>0</v>
          </cell>
          <cell r="O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D87">
            <v>1226195</v>
          </cell>
          <cell r="E87">
            <v>299801</v>
          </cell>
          <cell r="F87">
            <v>178933</v>
          </cell>
          <cell r="G87">
            <v>132281</v>
          </cell>
          <cell r="H87">
            <v>171690</v>
          </cell>
          <cell r="I87">
            <v>97454</v>
          </cell>
          <cell r="J87">
            <v>160916</v>
          </cell>
          <cell r="K87">
            <v>172547</v>
          </cell>
          <cell r="L87">
            <v>12573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929463</v>
          </cell>
          <cell r="E88">
            <v>90070</v>
          </cell>
          <cell r="F88">
            <v>79559</v>
          </cell>
          <cell r="G88">
            <v>93022</v>
          </cell>
          <cell r="H88">
            <v>109795</v>
          </cell>
          <cell r="I88">
            <v>59333</v>
          </cell>
          <cell r="J88">
            <v>298107</v>
          </cell>
          <cell r="K88">
            <v>187000</v>
          </cell>
          <cell r="L88">
            <v>12577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1544463</v>
          </cell>
          <cell r="E89">
            <v>291458</v>
          </cell>
          <cell r="F89">
            <v>211296</v>
          </cell>
          <cell r="G89">
            <v>228327</v>
          </cell>
          <cell r="H89">
            <v>317500</v>
          </cell>
          <cell r="I89">
            <v>87091</v>
          </cell>
          <cell r="J89">
            <v>287783</v>
          </cell>
          <cell r="K89">
            <v>86223</v>
          </cell>
          <cell r="L89">
            <v>34785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>
            <v>4350173949</v>
          </cell>
          <cell r="E91">
            <v>844393793</v>
          </cell>
          <cell r="F91">
            <v>614924825</v>
          </cell>
          <cell r="G91">
            <v>627659358</v>
          </cell>
          <cell r="H91">
            <v>816583631</v>
          </cell>
          <cell r="I91">
            <v>259150939</v>
          </cell>
          <cell r="J91">
            <v>740468803</v>
          </cell>
          <cell r="K91">
            <v>316591547</v>
          </cell>
          <cell r="L91">
            <v>130401053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1700170225</v>
          </cell>
          <cell r="E94">
            <v>337597660</v>
          </cell>
          <cell r="F94">
            <v>256389956</v>
          </cell>
          <cell r="G94">
            <v>242548360</v>
          </cell>
          <cell r="H94">
            <v>312120285</v>
          </cell>
          <cell r="I94">
            <v>99716550</v>
          </cell>
          <cell r="J94">
            <v>298840263</v>
          </cell>
          <cell r="K94">
            <v>94407413</v>
          </cell>
          <cell r="L94">
            <v>58549738</v>
          </cell>
          <cell r="M94">
            <v>0</v>
          </cell>
          <cell r="N94">
            <v>0</v>
          </cell>
          <cell r="O94">
            <v>0</v>
          </cell>
        </row>
        <row r="95">
          <cell r="D95">
            <v>1763000000</v>
          </cell>
          <cell r="E95">
            <v>370000000</v>
          </cell>
          <cell r="F95">
            <v>250000000</v>
          </cell>
          <cell r="G95">
            <v>270000000</v>
          </cell>
          <cell r="H95">
            <v>320000000</v>
          </cell>
          <cell r="I95">
            <v>103000000</v>
          </cell>
          <cell r="J95">
            <v>260000000</v>
          </cell>
          <cell r="K95">
            <v>140000000</v>
          </cell>
          <cell r="L95">
            <v>50000000</v>
          </cell>
          <cell r="M95">
            <v>0</v>
          </cell>
          <cell r="N95">
            <v>0</v>
          </cell>
          <cell r="O95">
            <v>0</v>
          </cell>
        </row>
        <row r="96">
          <cell r="D96">
            <v>376434080</v>
          </cell>
          <cell r="E96">
            <v>73731255</v>
          </cell>
          <cell r="F96">
            <v>53452738</v>
          </cell>
          <cell r="G96">
            <v>48495565</v>
          </cell>
          <cell r="H96">
            <v>80319454</v>
          </cell>
          <cell r="I96">
            <v>22032287</v>
          </cell>
          <cell r="J96">
            <v>67794876</v>
          </cell>
          <cell r="K96">
            <v>21812659</v>
          </cell>
          <cell r="L96">
            <v>8795246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510569644</v>
          </cell>
          <cell r="E99">
            <v>63064878</v>
          </cell>
          <cell r="F99">
            <v>55082131</v>
          </cell>
          <cell r="G99">
            <v>66615433</v>
          </cell>
          <cell r="H99">
            <v>104143892</v>
          </cell>
          <cell r="I99">
            <v>34402102</v>
          </cell>
          <cell r="J99">
            <v>113833664</v>
          </cell>
          <cell r="K99">
            <v>60371475</v>
          </cell>
          <cell r="L99">
            <v>13056069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</row>
        <row r="125"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D129">
            <v>453236</v>
          </cell>
          <cell r="E129">
            <v>161552</v>
          </cell>
          <cell r="F129">
            <v>15030</v>
          </cell>
          <cell r="G129">
            <v>11626</v>
          </cell>
          <cell r="H129">
            <v>217787</v>
          </cell>
          <cell r="I129">
            <v>11188</v>
          </cell>
          <cell r="J129">
            <v>17992</v>
          </cell>
          <cell r="K129">
            <v>12274</v>
          </cell>
          <cell r="L129">
            <v>5787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252639</v>
          </cell>
          <cell r="E130">
            <v>161552</v>
          </cell>
          <cell r="F130">
            <v>15030</v>
          </cell>
          <cell r="G130">
            <v>11626</v>
          </cell>
          <cell r="H130">
            <v>17190</v>
          </cell>
          <cell r="I130">
            <v>11188</v>
          </cell>
          <cell r="J130">
            <v>17992</v>
          </cell>
          <cell r="K130">
            <v>12274</v>
          </cell>
          <cell r="L130">
            <v>5787</v>
          </cell>
          <cell r="M130">
            <v>0</v>
          </cell>
          <cell r="N130">
            <v>0</v>
          </cell>
          <cell r="O130">
            <v>0</v>
          </cell>
        </row>
        <row r="131">
          <cell r="D131">
            <v>200597</v>
          </cell>
          <cell r="E131">
            <v>0</v>
          </cell>
          <cell r="F131">
            <v>0</v>
          </cell>
          <cell r="G131">
            <v>0</v>
          </cell>
          <cell r="H131">
            <v>200597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D132">
            <v>275771</v>
          </cell>
          <cell r="E132">
            <v>13680</v>
          </cell>
          <cell r="F132">
            <v>44591</v>
          </cell>
          <cell r="G132">
            <v>32555</v>
          </cell>
          <cell r="H132">
            <v>57881</v>
          </cell>
          <cell r="I132">
            <v>29965</v>
          </cell>
          <cell r="J132">
            <v>50383</v>
          </cell>
          <cell r="K132">
            <v>34374</v>
          </cell>
          <cell r="L132">
            <v>12342</v>
          </cell>
          <cell r="M132">
            <v>0</v>
          </cell>
          <cell r="N132">
            <v>0</v>
          </cell>
          <cell r="O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>
            <v>124822</v>
          </cell>
          <cell r="E134">
            <v>13680</v>
          </cell>
          <cell r="F134">
            <v>14529</v>
          </cell>
          <cell r="G134">
            <v>9300</v>
          </cell>
          <cell r="H134">
            <v>23497</v>
          </cell>
          <cell r="I134">
            <v>14793</v>
          </cell>
          <cell r="J134">
            <v>26391</v>
          </cell>
          <cell r="K134">
            <v>18005</v>
          </cell>
          <cell r="L134">
            <v>4627</v>
          </cell>
          <cell r="M134">
            <v>0</v>
          </cell>
          <cell r="N134">
            <v>0</v>
          </cell>
          <cell r="O134">
            <v>0</v>
          </cell>
        </row>
        <row r="135">
          <cell r="D135">
            <v>150949</v>
          </cell>
          <cell r="E135">
            <v>0</v>
          </cell>
          <cell r="F135">
            <v>30062</v>
          </cell>
          <cell r="G135">
            <v>23255</v>
          </cell>
          <cell r="H135">
            <v>34384</v>
          </cell>
          <cell r="I135">
            <v>15172</v>
          </cell>
          <cell r="J135">
            <v>23992</v>
          </cell>
          <cell r="K135">
            <v>16369</v>
          </cell>
          <cell r="L135">
            <v>7715</v>
          </cell>
          <cell r="M135">
            <v>0</v>
          </cell>
          <cell r="N135">
            <v>0</v>
          </cell>
          <cell r="O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D145">
            <v>478010294</v>
          </cell>
          <cell r="E145">
            <v>82154470</v>
          </cell>
          <cell r="F145">
            <v>57747972</v>
          </cell>
          <cell r="G145">
            <v>45700944</v>
          </cell>
          <cell r="H145">
            <v>100401859</v>
          </cell>
          <cell r="I145">
            <v>27051674</v>
          </cell>
          <cell r="J145">
            <v>84415036</v>
          </cell>
          <cell r="K145">
            <v>30998131</v>
          </cell>
          <cell r="L145">
            <v>9892046</v>
          </cell>
          <cell r="M145">
            <v>0</v>
          </cell>
          <cell r="N145">
            <v>0</v>
          </cell>
          <cell r="O145">
            <v>0</v>
          </cell>
        </row>
        <row r="146">
          <cell r="D146">
            <v>438362132</v>
          </cell>
          <cell r="E146">
            <v>82154470</v>
          </cell>
          <cell r="F146">
            <v>57747972</v>
          </cell>
          <cell r="G146">
            <v>45700944</v>
          </cell>
          <cell r="H146">
            <v>100401859</v>
          </cell>
          <cell r="I146">
            <v>27051674</v>
          </cell>
          <cell r="J146">
            <v>84415036</v>
          </cell>
          <cell r="K146">
            <v>30998131</v>
          </cell>
          <cell r="L146">
            <v>9892046</v>
          </cell>
          <cell r="M146">
            <v>0</v>
          </cell>
          <cell r="N146">
            <v>0</v>
          </cell>
          <cell r="O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</row>
        <row r="153">
          <cell r="D153">
            <v>438362132</v>
          </cell>
          <cell r="E153">
            <v>82154470</v>
          </cell>
          <cell r="F153">
            <v>57747972</v>
          </cell>
          <cell r="G153">
            <v>45700944</v>
          </cell>
          <cell r="H153">
            <v>100401859</v>
          </cell>
          <cell r="I153">
            <v>27051674</v>
          </cell>
          <cell r="J153">
            <v>84415036</v>
          </cell>
          <cell r="K153">
            <v>30998131</v>
          </cell>
          <cell r="L153">
            <v>9892046</v>
          </cell>
          <cell r="M153">
            <v>0</v>
          </cell>
          <cell r="N153">
            <v>0</v>
          </cell>
          <cell r="O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</row>
        <row r="156">
          <cell r="D156">
            <v>39648162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84590</v>
          </cell>
          <cell r="E163">
            <v>0</v>
          </cell>
          <cell r="F163">
            <v>14876</v>
          </cell>
          <cell r="G163">
            <v>12402</v>
          </cell>
          <cell r="H163">
            <v>57312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</row>
        <row r="171">
          <cell r="D171">
            <v>843378569</v>
          </cell>
          <cell r="E171">
            <v>132276537</v>
          </cell>
          <cell r="F171">
            <v>114442811</v>
          </cell>
          <cell r="G171">
            <v>143836719</v>
          </cell>
          <cell r="H171">
            <v>153076293</v>
          </cell>
          <cell r="I171">
            <v>68306866</v>
          </cell>
          <cell r="J171">
            <v>153110141</v>
          </cell>
          <cell r="K171">
            <v>63761432</v>
          </cell>
          <cell r="L171">
            <v>14567770</v>
          </cell>
          <cell r="M171">
            <v>0</v>
          </cell>
          <cell r="N171">
            <v>0</v>
          </cell>
          <cell r="O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D176">
            <v>335556120</v>
          </cell>
          <cell r="E176">
            <v>46188183</v>
          </cell>
          <cell r="F176">
            <v>48490353</v>
          </cell>
          <cell r="G176">
            <v>75285749</v>
          </cell>
          <cell r="H176">
            <v>46543158</v>
          </cell>
          <cell r="I176">
            <v>32599561</v>
          </cell>
          <cell r="J176">
            <v>63540299</v>
          </cell>
          <cell r="K176">
            <v>18743981</v>
          </cell>
          <cell r="L176">
            <v>4164836</v>
          </cell>
          <cell r="M176">
            <v>0</v>
          </cell>
          <cell r="N176">
            <v>0</v>
          </cell>
          <cell r="O176">
            <v>0</v>
          </cell>
        </row>
        <row r="177">
          <cell r="D177">
            <v>11398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5995</v>
          </cell>
          <cell r="K177">
            <v>3476</v>
          </cell>
          <cell r="L177">
            <v>1927</v>
          </cell>
          <cell r="M177">
            <v>0</v>
          </cell>
          <cell r="N177">
            <v>0</v>
          </cell>
          <cell r="O177">
            <v>0</v>
          </cell>
        </row>
        <row r="178">
          <cell r="D178">
            <v>505195492</v>
          </cell>
          <cell r="E178">
            <v>86052776</v>
          </cell>
          <cell r="F178">
            <v>65676298</v>
          </cell>
          <cell r="G178">
            <v>68523705</v>
          </cell>
          <cell r="H178">
            <v>106021019</v>
          </cell>
          <cell r="I178">
            <v>35532786</v>
          </cell>
          <cell r="J178">
            <v>88759055</v>
          </cell>
          <cell r="K178">
            <v>44395859</v>
          </cell>
          <cell r="L178">
            <v>10233994</v>
          </cell>
          <cell r="M178">
            <v>0</v>
          </cell>
          <cell r="N178">
            <v>0</v>
          </cell>
          <cell r="O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D181">
            <v>2615559</v>
          </cell>
          <cell r="E181">
            <v>35578</v>
          </cell>
          <cell r="F181">
            <v>276160</v>
          </cell>
          <cell r="G181">
            <v>27265</v>
          </cell>
          <cell r="H181">
            <v>512116</v>
          </cell>
          <cell r="I181">
            <v>174519</v>
          </cell>
          <cell r="J181">
            <v>804792</v>
          </cell>
          <cell r="K181">
            <v>618116</v>
          </cell>
          <cell r="L181">
            <v>167013</v>
          </cell>
          <cell r="M181">
            <v>0</v>
          </cell>
          <cell r="N181">
            <v>0</v>
          </cell>
          <cell r="O181">
            <v>0</v>
          </cell>
        </row>
        <row r="182">
          <cell r="D182">
            <v>28601793</v>
          </cell>
          <cell r="E182">
            <v>8354026</v>
          </cell>
          <cell r="F182">
            <v>4861454</v>
          </cell>
          <cell r="G182">
            <v>3217164</v>
          </cell>
          <cell r="H182">
            <v>3760179</v>
          </cell>
          <cell r="I182">
            <v>2050889</v>
          </cell>
          <cell r="J182">
            <v>4658364</v>
          </cell>
          <cell r="K182">
            <v>1699717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</row>
        <row r="184">
          <cell r="D184">
            <v>28601793</v>
          </cell>
          <cell r="E184">
            <v>8354026</v>
          </cell>
          <cell r="F184">
            <v>4861454</v>
          </cell>
          <cell r="G184">
            <v>3217164</v>
          </cell>
          <cell r="H184">
            <v>3760179</v>
          </cell>
          <cell r="I184">
            <v>2050889</v>
          </cell>
          <cell r="J184">
            <v>4658364</v>
          </cell>
          <cell r="K184">
            <v>1699717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</row>
        <row r="189">
          <cell r="D189">
            <v>2690067</v>
          </cell>
          <cell r="E189">
            <v>315290</v>
          </cell>
          <cell r="F189">
            <v>509780</v>
          </cell>
          <cell r="G189">
            <v>167360</v>
          </cell>
          <cell r="H189">
            <v>612613</v>
          </cell>
          <cell r="I189">
            <v>265546</v>
          </cell>
          <cell r="J189">
            <v>456913</v>
          </cell>
          <cell r="K189">
            <v>284128</v>
          </cell>
          <cell r="L189">
            <v>78437</v>
          </cell>
          <cell r="M189">
            <v>0</v>
          </cell>
          <cell r="N189">
            <v>0</v>
          </cell>
          <cell r="O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</row>
        <row r="191">
          <cell r="D191">
            <v>2690067</v>
          </cell>
          <cell r="E191">
            <v>315290</v>
          </cell>
          <cell r="F191">
            <v>509780</v>
          </cell>
          <cell r="G191">
            <v>167360</v>
          </cell>
          <cell r="H191">
            <v>612613</v>
          </cell>
          <cell r="I191">
            <v>265546</v>
          </cell>
          <cell r="J191">
            <v>456913</v>
          </cell>
          <cell r="K191">
            <v>284128</v>
          </cell>
          <cell r="L191">
            <v>78437</v>
          </cell>
          <cell r="M191">
            <v>0</v>
          </cell>
          <cell r="N191">
            <v>0</v>
          </cell>
          <cell r="O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</row>
        <row r="233"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</row>
        <row r="240"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</row>
        <row r="241"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</row>
        <row r="242"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</row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</row>
        <row r="245"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</row>
        <row r="246"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</row>
        <row r="247"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</row>
        <row r="248"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</row>
        <row r="249"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</row>
        <row r="253"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</row>
        <row r="255"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</row>
        <row r="257"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</row>
        <row r="260"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</row>
        <row r="263"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276"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8"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</row>
        <row r="280"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</row>
        <row r="281"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</row>
        <row r="282"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</row>
        <row r="286"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</row>
        <row r="287"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</row>
        <row r="288"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</row>
        <row r="299"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D305">
            <v>139796040</v>
          </cell>
          <cell r="E305">
            <v>28261213</v>
          </cell>
          <cell r="F305">
            <v>19673022</v>
          </cell>
          <cell r="G305">
            <v>16427431</v>
          </cell>
          <cell r="H305">
            <v>23576487</v>
          </cell>
          <cell r="I305">
            <v>7023988</v>
          </cell>
          <cell r="J305">
            <v>18714880</v>
          </cell>
          <cell r="K305">
            <v>9444982</v>
          </cell>
          <cell r="L305">
            <v>8195957</v>
          </cell>
          <cell r="M305">
            <v>0</v>
          </cell>
          <cell r="N305">
            <v>0</v>
          </cell>
          <cell r="O305">
            <v>0</v>
          </cell>
        </row>
        <row r="306">
          <cell r="D306">
            <v>1086931</v>
          </cell>
          <cell r="E306">
            <v>207858</v>
          </cell>
          <cell r="F306">
            <v>148627</v>
          </cell>
          <cell r="G306">
            <v>114314</v>
          </cell>
          <cell r="H306">
            <v>255188</v>
          </cell>
          <cell r="I306">
            <v>67579</v>
          </cell>
          <cell r="J306">
            <v>209829</v>
          </cell>
          <cell r="K306">
            <v>64127</v>
          </cell>
          <cell r="L306">
            <v>19409</v>
          </cell>
          <cell r="M306">
            <v>0</v>
          </cell>
          <cell r="N306">
            <v>0</v>
          </cell>
          <cell r="O306">
            <v>0</v>
          </cell>
        </row>
        <row r="307">
          <cell r="D307">
            <v>8478080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D309">
            <v>25175628</v>
          </cell>
          <cell r="E309">
            <v>3847466</v>
          </cell>
          <cell r="F309">
            <v>2930601</v>
          </cell>
          <cell r="G309">
            <v>3723051</v>
          </cell>
          <cell r="H309">
            <v>4795789</v>
          </cell>
          <cell r="I309">
            <v>2061451</v>
          </cell>
          <cell r="J309">
            <v>4711827</v>
          </cell>
          <cell r="K309">
            <v>2379261</v>
          </cell>
          <cell r="L309">
            <v>726182</v>
          </cell>
          <cell r="M309">
            <v>0</v>
          </cell>
          <cell r="N309">
            <v>0</v>
          </cell>
          <cell r="O309">
            <v>0</v>
          </cell>
        </row>
        <row r="310">
          <cell r="D310">
            <v>92137000</v>
          </cell>
          <cell r="E310">
            <v>22281777</v>
          </cell>
          <cell r="F310">
            <v>14593929</v>
          </cell>
          <cell r="G310">
            <v>11004340</v>
          </cell>
          <cell r="H310">
            <v>15939831</v>
          </cell>
          <cell r="I310">
            <v>3796001</v>
          </cell>
          <cell r="J310">
            <v>11937034</v>
          </cell>
          <cell r="K310">
            <v>5505931</v>
          </cell>
          <cell r="L310">
            <v>7078157</v>
          </cell>
          <cell r="M310">
            <v>0</v>
          </cell>
          <cell r="N310">
            <v>0</v>
          </cell>
          <cell r="O310">
            <v>0</v>
          </cell>
        </row>
        <row r="311">
          <cell r="D311">
            <v>2093143</v>
          </cell>
          <cell r="E311">
            <v>377177</v>
          </cell>
          <cell r="F311">
            <v>403354</v>
          </cell>
          <cell r="G311">
            <v>227617</v>
          </cell>
          <cell r="H311">
            <v>460288</v>
          </cell>
          <cell r="I311">
            <v>152883</v>
          </cell>
          <cell r="J311">
            <v>239946</v>
          </cell>
          <cell r="K311">
            <v>165756</v>
          </cell>
          <cell r="L311">
            <v>66122</v>
          </cell>
          <cell r="M311">
            <v>0</v>
          </cell>
          <cell r="N311">
            <v>0</v>
          </cell>
          <cell r="O311">
            <v>0</v>
          </cell>
        </row>
        <row r="312">
          <cell r="D312">
            <v>10825258</v>
          </cell>
          <cell r="E312">
            <v>1546935</v>
          </cell>
          <cell r="F312">
            <v>1596511</v>
          </cell>
          <cell r="G312">
            <v>1358109</v>
          </cell>
          <cell r="H312">
            <v>2125391</v>
          </cell>
          <cell r="I312">
            <v>946074</v>
          </cell>
          <cell r="J312">
            <v>1616244</v>
          </cell>
          <cell r="K312">
            <v>1329907</v>
          </cell>
          <cell r="L312">
            <v>306087</v>
          </cell>
          <cell r="M312">
            <v>0</v>
          </cell>
          <cell r="N312">
            <v>0</v>
          </cell>
          <cell r="O312">
            <v>0</v>
          </cell>
        </row>
        <row r="313"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</row>
        <row r="314"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D325">
            <v>604507676</v>
          </cell>
          <cell r="E325">
            <v>118344294</v>
          </cell>
          <cell r="F325">
            <v>85754560</v>
          </cell>
          <cell r="G325">
            <v>77667792</v>
          </cell>
          <cell r="H325">
            <v>129108256</v>
          </cell>
          <cell r="I325">
            <v>35407500</v>
          </cell>
          <cell r="J325">
            <v>108977746</v>
          </cell>
          <cell r="K325">
            <v>35139702</v>
          </cell>
          <cell r="L325">
            <v>14114918</v>
          </cell>
          <cell r="M325">
            <v>0</v>
          </cell>
          <cell r="N325">
            <v>0</v>
          </cell>
          <cell r="O325">
            <v>0</v>
          </cell>
        </row>
        <row r="326"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</sheetData>
      <sheetData sheetId="3" refreshError="1"/>
      <sheetData sheetId="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지급이자 ㅇ"/>
      <sheetName val="확인작업"/>
      <sheetName val="미지급비용 명세 ㅇ"/>
      <sheetName val="이자명세서 ㅇ"/>
      <sheetName val="외화차입 ㅇ"/>
      <sheetName val="국민 ㅇ"/>
      <sheetName val="우리 ㅇ"/>
      <sheetName val="산업 ㅇ"/>
      <sheetName val="신한 ㅇ"/>
      <sheetName val="제일 하나 당좌 ㅇ"/>
      <sheetName val="한미 ㅇ"/>
      <sheetName val="C P ㅇ"/>
      <sheetName val="회사채 ㅇ"/>
      <sheetName val="사용자ㅇ"/>
      <sheetName val="사용이자ㅇ"/>
      <sheetName val="공급자 ㅇ"/>
      <sheetName val="공급이자 ㅇ"/>
      <sheetName val="선급이자"/>
      <sheetName val="5) 자가소모"/>
      <sheetName val="보험금"/>
      <sheetName val="24.보증금(전신전화가입권)"/>
      <sheetName val="입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nDLG"/>
      <sheetName val="TmpSet1"/>
      <sheetName val="logoDlg"/>
      <sheetName val="Module1"/>
      <sheetName val="200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목"/>
      <sheetName val="간접"/>
      <sheetName val="요율"/>
      <sheetName val="CHECK"/>
    </sheetNames>
    <definedNames>
      <definedName name="InsertLogo"/>
      <definedName name="insertLt"/>
      <definedName name="sheetbutton"/>
      <definedName name="sheetbutton1"/>
      <definedName name="SignDLG"/>
    </definedNames>
    <sheetDataSet>
      <sheetData sheetId="0"/>
      <sheetData sheetId="1"/>
      <sheetData sheetId="2"/>
      <sheetData sheetId="3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"/>
      <sheetName val="투찰"/>
      <sheetName val="토공"/>
      <sheetName val="철콘"/>
      <sheetName val="하도급사항"/>
      <sheetName val="한라갑지"/>
      <sheetName val="한라토공"/>
      <sheetName val="철콘갑지"/>
      <sheetName val="한라철콘"/>
      <sheetName val="선산갑지"/>
      <sheetName val="설 계"/>
    </sheetNames>
    <sheetDataSet>
      <sheetData sheetId="0">
        <row r="2">
          <cell r="F2" t="str">
            <v>단       가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갑지"/>
      <sheetName val="원가계산서"/>
      <sheetName val="자동제어"/>
      <sheetName val="가스공사"/>
      <sheetName val="장비,방진"/>
      <sheetName val="공조,위생"/>
      <sheetName val="닥트,소방"/>
      <sheetName val="설계"/>
    </sheetNames>
    <sheetDataSet>
      <sheetData sheetId="0">
        <row r="1">
          <cell r="B1">
            <v>0.86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속-106"/>
      <sheetName val="잡철대비"/>
      <sheetName val="xxxxxx"/>
      <sheetName val="표지겉"/>
      <sheetName val="공사개요"/>
      <sheetName val="원가"/>
      <sheetName val="총괄집계표"/>
      <sheetName val="공통가설"/>
      <sheetName val="비과세A"/>
      <sheetName val="과세A"/>
      <sheetName val="부대동집계"/>
      <sheetName val="상가"/>
      <sheetName val="부속동"/>
      <sheetName val="조경,부대"/>
      <sheetName val="Sheet1"/>
      <sheetName val="설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공사(집계)"/>
      <sheetName val="비교표"/>
      <sheetName val="갑지"/>
      <sheetName val="갑지(면-계)"/>
      <sheetName val="갑지(과-계)"/>
      <sheetName val="갑지(부-계)"/>
      <sheetName val="공통가설공사"/>
      <sheetName val="건축공사"/>
      <sheetName val="설비공사"/>
      <sheetName val="전기공사"/>
      <sheetName val="토목공사"/>
      <sheetName val="조경공사"/>
      <sheetName val="현장관리비"/>
      <sheetName val="기타경비"/>
      <sheetName val="Sheet1"/>
      <sheetName val="내역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ition"/>
      <sheetName val="Origin"/>
      <sheetName val="Report"/>
      <sheetName val="Report (백만)"/>
      <sheetName val="Report (변고정)"/>
      <sheetName val="Report (변고정) (백만)"/>
      <sheetName val="Report (변고정) (PT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E88D-E486-4E4E-9490-3BD671E61BCB}">
  <sheetPr>
    <tabColor theme="6" tint="0.39997558519241921"/>
    <pageSetUpPr fitToPage="1"/>
  </sheetPr>
  <dimension ref="B1:Y53"/>
  <sheetViews>
    <sheetView tabSelected="1" topLeftCell="A3" zoomScale="87" zoomScaleNormal="87" zoomScaleSheetLayoutView="25" zoomScalePageLayoutView="10" workbookViewId="0">
      <selection activeCell="G36" sqref="G36"/>
    </sheetView>
  </sheetViews>
  <sheetFormatPr defaultColWidth="25.75" defaultRowHeight="20.100000000000001" customHeight="1" x14ac:dyDescent="0.3"/>
  <cols>
    <col min="1" max="1" width="3.25" style="3" customWidth="1"/>
    <col min="2" max="2" width="22" style="3" customWidth="1"/>
    <col min="3" max="22" width="15.625" style="3" customWidth="1"/>
    <col min="23" max="23" width="17.625" style="3" customWidth="1"/>
    <col min="24" max="24" width="12.625" style="3" bestFit="1" customWidth="1"/>
    <col min="25" max="25" width="16.875" style="3" customWidth="1"/>
    <col min="26" max="16384" width="25.75" style="3"/>
  </cols>
  <sheetData>
    <row r="1" spans="2:25" ht="29.25" customHeight="1" x14ac:dyDescent="0.3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2:25" ht="20.100000000000001" customHeight="1" x14ac:dyDescent="0.3"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5"/>
      <c r="N2" s="5"/>
      <c r="O2" s="5"/>
      <c r="P2" s="5"/>
      <c r="Q2" s="5"/>
      <c r="R2" s="5"/>
      <c r="S2" s="5"/>
      <c r="T2" s="5"/>
      <c r="U2" s="5"/>
      <c r="V2" s="5"/>
      <c r="W2" s="2"/>
    </row>
    <row r="3" spans="2:25" ht="20.100000000000001" customHeight="1" thickBot="1" x14ac:dyDescent="0.3">
      <c r="B3" s="6" t="s">
        <v>1</v>
      </c>
      <c r="C3" s="2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7"/>
      <c r="R3" s="7"/>
      <c r="S3" s="5"/>
      <c r="T3" s="7"/>
      <c r="U3" s="7"/>
      <c r="V3" s="8"/>
      <c r="W3" s="8" t="s">
        <v>2</v>
      </c>
    </row>
    <row r="4" spans="2:25" s="13" customFormat="1" ht="20.100000000000001" customHeight="1" thickTop="1" x14ac:dyDescent="0.3"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10" t="s">
        <v>13</v>
      </c>
      <c r="M4" s="11" t="s">
        <v>14</v>
      </c>
      <c r="N4" s="9" t="s">
        <v>15</v>
      </c>
      <c r="O4" s="9" t="s">
        <v>16</v>
      </c>
      <c r="P4" s="9" t="s">
        <v>17</v>
      </c>
      <c r="Q4" s="9" t="s">
        <v>18</v>
      </c>
      <c r="R4" s="9" t="s">
        <v>19</v>
      </c>
      <c r="S4" s="9" t="s">
        <v>20</v>
      </c>
      <c r="T4" s="9" t="s">
        <v>21</v>
      </c>
      <c r="U4" s="9" t="s">
        <v>22</v>
      </c>
      <c r="V4" s="9" t="s">
        <v>23</v>
      </c>
      <c r="W4" s="12" t="s">
        <v>24</v>
      </c>
    </row>
    <row r="5" spans="2:25" s="13" customFormat="1" ht="20.100000000000001" customHeight="1" x14ac:dyDescent="0.3">
      <c r="B5" s="14" t="s">
        <v>25</v>
      </c>
      <c r="C5" s="15">
        <v>24689242</v>
      </c>
      <c r="D5" s="15">
        <v>24762440</v>
      </c>
      <c r="E5" s="15">
        <v>25114005</v>
      </c>
      <c r="F5" s="16">
        <v>24944797</v>
      </c>
      <c r="G5" s="17">
        <v>25156455.578523997</v>
      </c>
      <c r="H5" s="17">
        <v>25202506.809681047</v>
      </c>
      <c r="I5" s="17">
        <v>25323667.70872945</v>
      </c>
      <c r="J5" s="17">
        <v>25420409.267564368</v>
      </c>
      <c r="K5" s="17">
        <v>25366372.633029237</v>
      </c>
      <c r="L5" s="18">
        <v>25237027.119864091</v>
      </c>
      <c r="M5" s="19">
        <f>L5*M39</f>
        <v>25108341.151601873</v>
      </c>
      <c r="N5" s="19">
        <f t="shared" ref="N5:V8" si="0">M5*N39</f>
        <v>25183666.175056677</v>
      </c>
      <c r="O5" s="19">
        <f t="shared" si="0"/>
        <v>25208849.84123173</v>
      </c>
      <c r="P5" s="19">
        <f t="shared" si="0"/>
        <v>25133223.291708034</v>
      </c>
      <c r="Q5" s="19">
        <f t="shared" si="0"/>
        <v>25079797.133717857</v>
      </c>
      <c r="R5" s="19">
        <f t="shared" si="0"/>
        <v>25004557.742316704</v>
      </c>
      <c r="S5" s="19">
        <f t="shared" si="0"/>
        <v>25079571.415543653</v>
      </c>
      <c r="T5" s="19">
        <f t="shared" si="0"/>
        <v>25026259.306339782</v>
      </c>
      <c r="U5" s="19">
        <f t="shared" si="0"/>
        <v>24898648.062926617</v>
      </c>
      <c r="V5" s="19">
        <f t="shared" si="0"/>
        <v>24771687.521212257</v>
      </c>
      <c r="W5" s="20">
        <f>V5-C5</f>
        <v>82445.521212257445</v>
      </c>
      <c r="X5" s="21">
        <f>W5/0.0425</f>
        <v>1939894.6167589985</v>
      </c>
      <c r="Y5" s="22" t="e">
        <f>L5/#REF!</f>
        <v>#REF!</v>
      </c>
    </row>
    <row r="6" spans="2:25" s="13" customFormat="1" ht="20.100000000000001" customHeight="1" x14ac:dyDescent="0.3">
      <c r="B6" s="23" t="s">
        <v>26</v>
      </c>
      <c r="C6" s="24">
        <v>836497</v>
      </c>
      <c r="D6" s="24">
        <v>835248</v>
      </c>
      <c r="E6" s="24">
        <v>843196</v>
      </c>
      <c r="F6" s="25">
        <v>834350</v>
      </c>
      <c r="G6" s="26">
        <v>821099.50349999999</v>
      </c>
      <c r="H6" s="26">
        <v>805392.66443699994</v>
      </c>
      <c r="I6" s="26">
        <v>789987.69247713406</v>
      </c>
      <c r="J6" s="26">
        <v>774878.60201254557</v>
      </c>
      <c r="K6" s="26">
        <v>760060.46117631975</v>
      </c>
      <c r="L6" s="27">
        <v>745527.39087514603</v>
      </c>
      <c r="M6" s="28">
        <f>L6*M40</f>
        <v>743942.60949996754</v>
      </c>
      <c r="N6" s="28">
        <f t="shared" si="0"/>
        <v>740149.17635983077</v>
      </c>
      <c r="O6" s="28">
        <f t="shared" si="0"/>
        <v>736375.08629106125</v>
      </c>
      <c r="P6" s="28">
        <f t="shared" si="0"/>
        <v>734809.76013915474</v>
      </c>
      <c r="Q6" s="28">
        <f t="shared" si="0"/>
        <v>731062.89625447767</v>
      </c>
      <c r="R6" s="28">
        <f t="shared" si="0"/>
        <v>727335.13798016659</v>
      </c>
      <c r="S6" s="28">
        <f t="shared" si="0"/>
        <v>725789.02821372228</v>
      </c>
      <c r="T6" s="28">
        <f t="shared" si="0"/>
        <v>722088.16188718646</v>
      </c>
      <c r="U6" s="28">
        <f t="shared" si="0"/>
        <v>718406.16662515351</v>
      </c>
      <c r="V6" s="28">
        <f t="shared" si="0"/>
        <v>716879.03733840201</v>
      </c>
      <c r="W6" s="20">
        <f t="shared" ref="W6:W16" si="1">V6-C6</f>
        <v>-119617.96266159799</v>
      </c>
      <c r="X6" s="21">
        <f t="shared" ref="X6:X8" si="2">W6/0.0425</f>
        <v>-2814540.2979199528</v>
      </c>
      <c r="Y6" s="22" t="e">
        <f>L6/#REF!</f>
        <v>#REF!</v>
      </c>
    </row>
    <row r="7" spans="2:25" s="13" customFormat="1" ht="20.100000000000001" customHeight="1" x14ac:dyDescent="0.3">
      <c r="B7" s="29" t="s">
        <v>27</v>
      </c>
      <c r="C7" s="30">
        <v>693593</v>
      </c>
      <c r="D7" s="30">
        <v>684270</v>
      </c>
      <c r="E7" s="30">
        <v>677113</v>
      </c>
      <c r="F7" s="31">
        <v>670119</v>
      </c>
      <c r="G7" s="32">
        <v>683451.96589799994</v>
      </c>
      <c r="H7" s="32">
        <v>671833.28247773391</v>
      </c>
      <c r="I7" s="32">
        <v>657724.78354570153</v>
      </c>
      <c r="J7" s="32">
        <v>645228.01265833317</v>
      </c>
      <c r="K7" s="32">
        <v>629742.54035453312</v>
      </c>
      <c r="L7" s="33">
        <v>615888.20446673338</v>
      </c>
      <c r="M7" s="34">
        <f>L7*M41</f>
        <v>585256.4374337336</v>
      </c>
      <c r="N7" s="34">
        <f t="shared" si="0"/>
        <v>577389.65422485652</v>
      </c>
      <c r="O7" s="34">
        <f t="shared" si="0"/>
        <v>571350.55013540748</v>
      </c>
      <c r="P7" s="34">
        <f t="shared" si="0"/>
        <v>565448.98607202806</v>
      </c>
      <c r="Q7" s="34">
        <f t="shared" si="0"/>
        <v>576699.39390758704</v>
      </c>
      <c r="R7" s="34">
        <f t="shared" si="0"/>
        <v>566895.50421115803</v>
      </c>
      <c r="S7" s="34">
        <f t="shared" si="0"/>
        <v>554990.69862272381</v>
      </c>
      <c r="T7" s="34">
        <f t="shared" si="0"/>
        <v>544445.87534889206</v>
      </c>
      <c r="U7" s="34">
        <f t="shared" si="0"/>
        <v>531379.17434051854</v>
      </c>
      <c r="V7" s="34">
        <f t="shared" si="0"/>
        <v>519688.83250502712</v>
      </c>
      <c r="W7" s="20">
        <f t="shared" si="1"/>
        <v>-173904.16749497288</v>
      </c>
      <c r="X7" s="21">
        <f t="shared" si="2"/>
        <v>-4091862.764587597</v>
      </c>
      <c r="Y7" s="22" t="e">
        <f>L7/#REF!</f>
        <v>#REF!</v>
      </c>
    </row>
    <row r="8" spans="2:25" s="13" customFormat="1" ht="20.100000000000001" customHeight="1" x14ac:dyDescent="0.3">
      <c r="B8" s="29" t="s">
        <v>28</v>
      </c>
      <c r="C8" s="30">
        <v>3381184</v>
      </c>
      <c r="D8" s="30">
        <v>3351860</v>
      </c>
      <c r="E8" s="30">
        <v>3342768</v>
      </c>
      <c r="F8" s="31">
        <v>3303216</v>
      </c>
      <c r="G8" s="32">
        <v>3664250.8943039994</v>
      </c>
      <c r="H8" s="32">
        <v>3671579.3960926072</v>
      </c>
      <c r="I8" s="32">
        <v>3689937.2930730698</v>
      </c>
      <c r="J8" s="32">
        <v>3715766.854124581</v>
      </c>
      <c r="K8" s="32">
        <v>3738061.4552493286</v>
      </c>
      <c r="L8" s="33">
        <v>3745537.5781598273</v>
      </c>
      <c r="M8" s="34">
        <f>L8*M42</f>
        <v>3574057.6819145279</v>
      </c>
      <c r="N8" s="34">
        <f t="shared" si="0"/>
        <v>3543060.9460183266</v>
      </c>
      <c r="O8" s="34">
        <f t="shared" si="0"/>
        <v>3533450.3089030534</v>
      </c>
      <c r="P8" s="34">
        <f t="shared" si="0"/>
        <v>3491642.134773789</v>
      </c>
      <c r="Q8" s="34">
        <f t="shared" si="0"/>
        <v>3873271.628296297</v>
      </c>
      <c r="R8" s="34">
        <f t="shared" si="0"/>
        <v>3881018.1715528895</v>
      </c>
      <c r="S8" s="34">
        <f t="shared" si="0"/>
        <v>3900423.2624106538</v>
      </c>
      <c r="T8" s="34">
        <f t="shared" si="0"/>
        <v>3927726.2252475279</v>
      </c>
      <c r="U8" s="34">
        <f t="shared" si="0"/>
        <v>3951292.5825990131</v>
      </c>
      <c r="V8" s="34">
        <f t="shared" si="0"/>
        <v>3959195.1677642111</v>
      </c>
      <c r="W8" s="20">
        <f t="shared" si="1"/>
        <v>578011.16776421107</v>
      </c>
      <c r="X8" s="21">
        <f t="shared" si="2"/>
        <v>13600262.770922612</v>
      </c>
      <c r="Y8" s="22" t="e">
        <f>L8/#REF!</f>
        <v>#REF!</v>
      </c>
    </row>
    <row r="9" spans="2:25" s="13" customFormat="1" ht="20.100000000000001" customHeight="1" x14ac:dyDescent="0.3">
      <c r="B9" s="29" t="s">
        <v>29</v>
      </c>
      <c r="C9" s="30">
        <v>1403814</v>
      </c>
      <c r="D9" s="30">
        <v>1399607</v>
      </c>
      <c r="E9" s="30">
        <v>1442951</v>
      </c>
      <c r="F9" s="31">
        <v>1424315</v>
      </c>
      <c r="G9" s="32">
        <v>1417328</v>
      </c>
      <c r="H9" s="32">
        <v>1396068</v>
      </c>
      <c r="I9" s="32">
        <v>1382107</v>
      </c>
      <c r="J9" s="32">
        <v>1364140</v>
      </c>
      <c r="K9" s="32">
        <v>1345042</v>
      </c>
      <c r="L9" s="33">
        <v>1331592</v>
      </c>
      <c r="M9" s="34">
        <f t="shared" ref="M9:V12" si="3">L9*M43</f>
        <v>1251719.2350621938</v>
      </c>
      <c r="N9" s="34">
        <f t="shared" si="3"/>
        <v>1247968.0380931462</v>
      </c>
      <c r="O9" s="34">
        <f t="shared" si="3"/>
        <v>1286615.9775812377</v>
      </c>
      <c r="P9" s="34">
        <f t="shared" si="3"/>
        <v>1269999.0755809592</v>
      </c>
      <c r="Q9" s="34">
        <f t="shared" si="3"/>
        <v>1263769.0748149178</v>
      </c>
      <c r="R9" s="34">
        <f t="shared" si="3"/>
        <v>1244812.4673602106</v>
      </c>
      <c r="S9" s="34">
        <f t="shared" si="3"/>
        <v>1232364.0573566749</v>
      </c>
      <c r="T9" s="34">
        <f t="shared" si="3"/>
        <v>1216343.6732485506</v>
      </c>
      <c r="U9" s="34">
        <f t="shared" si="3"/>
        <v>1199314.8261568293</v>
      </c>
      <c r="V9" s="34">
        <f t="shared" si="3"/>
        <v>1187322.0523907987</v>
      </c>
      <c r="W9" s="20">
        <f t="shared" si="1"/>
        <v>-216491.94760920131</v>
      </c>
      <c r="X9" s="21">
        <f>W9/0.0425</f>
        <v>-5093928.1790400306</v>
      </c>
      <c r="Y9" s="22" t="e">
        <f>L9/#REF!</f>
        <v>#REF!</v>
      </c>
    </row>
    <row r="10" spans="2:25" s="13" customFormat="1" ht="20.100000000000001" customHeight="1" x14ac:dyDescent="0.3">
      <c r="B10" s="29" t="s">
        <v>30</v>
      </c>
      <c r="C10" s="30">
        <v>8678288</v>
      </c>
      <c r="D10" s="30">
        <v>8727394</v>
      </c>
      <c r="E10" s="30">
        <v>8718795</v>
      </c>
      <c r="F10" s="31">
        <v>8592138</v>
      </c>
      <c r="G10" s="32">
        <v>8613557.9428799991</v>
      </c>
      <c r="H10" s="32">
        <v>8484354.5737367999</v>
      </c>
      <c r="I10" s="32">
        <v>8331636.1914095376</v>
      </c>
      <c r="J10" s="32">
        <v>8189998.3761555757</v>
      </c>
      <c r="K10" s="32">
        <v>8042578.4053847753</v>
      </c>
      <c r="L10" s="33">
        <v>7889769.4156824648</v>
      </c>
      <c r="M10" s="34">
        <f t="shared" si="3"/>
        <v>7452813.555156582</v>
      </c>
      <c r="N10" s="34">
        <f t="shared" si="3"/>
        <v>7494985.2210934022</v>
      </c>
      <c r="O10" s="34">
        <f t="shared" si="3"/>
        <v>7487600.4991573719</v>
      </c>
      <c r="P10" s="34">
        <f t="shared" si="3"/>
        <v>7378828.9296432622</v>
      </c>
      <c r="Q10" s="34">
        <f t="shared" si="3"/>
        <v>7397224.1293239743</v>
      </c>
      <c r="R10" s="34">
        <f t="shared" si="3"/>
        <v>7286265.7673841156</v>
      </c>
      <c r="S10" s="34">
        <f t="shared" si="3"/>
        <v>7155112.9835712016</v>
      </c>
      <c r="T10" s="34">
        <f t="shared" si="3"/>
        <v>7033476.0628504911</v>
      </c>
      <c r="U10" s="34">
        <f t="shared" si="3"/>
        <v>6906873.493719182</v>
      </c>
      <c r="V10" s="34">
        <f t="shared" si="3"/>
        <v>6775642.8973385179</v>
      </c>
      <c r="W10" s="20">
        <f t="shared" si="1"/>
        <v>-1902645.1026614821</v>
      </c>
      <c r="X10" s="21">
        <f>W10/0.0425</f>
        <v>-44768120.062623106</v>
      </c>
      <c r="Y10" s="22" t="e">
        <f>L10/#REF!</f>
        <v>#REF!</v>
      </c>
    </row>
    <row r="11" spans="2:25" s="13" customFormat="1" ht="20.100000000000001" customHeight="1" x14ac:dyDescent="0.3">
      <c r="B11" s="29" t="s">
        <v>31</v>
      </c>
      <c r="C11" s="30">
        <v>248368</v>
      </c>
      <c r="D11" s="30">
        <v>248970</v>
      </c>
      <c r="E11" s="30">
        <v>278738</v>
      </c>
      <c r="F11" s="31">
        <v>249837</v>
      </c>
      <c r="G11" s="32">
        <v>230984</v>
      </c>
      <c r="H11" s="32">
        <v>249257</v>
      </c>
      <c r="I11" s="32">
        <v>219278</v>
      </c>
      <c r="J11" s="32">
        <v>235400</v>
      </c>
      <c r="K11" s="32">
        <v>208180</v>
      </c>
      <c r="L11" s="33">
        <v>222381</v>
      </c>
      <c r="M11" s="34">
        <f t="shared" si="3"/>
        <v>199929.50169225255</v>
      </c>
      <c r="N11" s="34">
        <f t="shared" si="3"/>
        <v>200414.09535978915</v>
      </c>
      <c r="O11" s="34">
        <f t="shared" si="3"/>
        <v>224376.52774389248</v>
      </c>
      <c r="P11" s="34">
        <f t="shared" si="3"/>
        <v>201112.00683778626</v>
      </c>
      <c r="Q11" s="34">
        <f t="shared" si="3"/>
        <v>185935.85332604547</v>
      </c>
      <c r="R11" s="34">
        <f t="shared" si="3"/>
        <v>200645.12257338219</v>
      </c>
      <c r="S11" s="34">
        <f t="shared" si="3"/>
        <v>176512.84091378015</v>
      </c>
      <c r="T11" s="34">
        <f t="shared" si="3"/>
        <v>189490.61351847355</v>
      </c>
      <c r="U11" s="34">
        <f t="shared" si="3"/>
        <v>167579.25200626944</v>
      </c>
      <c r="V11" s="34">
        <f t="shared" si="3"/>
        <v>179010.67172834184</v>
      </c>
      <c r="W11" s="20">
        <f t="shared" si="1"/>
        <v>-69357.32827165816</v>
      </c>
      <c r="X11" s="21">
        <f t="shared" ref="X11:X16" si="4">W11/0.0425</f>
        <v>-1631937.1358037214</v>
      </c>
      <c r="Y11" s="22" t="e">
        <f>L11/#REF!</f>
        <v>#REF!</v>
      </c>
    </row>
    <row r="12" spans="2:25" s="13" customFormat="1" ht="20.100000000000001" customHeight="1" x14ac:dyDescent="0.3">
      <c r="B12" s="29" t="s">
        <v>32</v>
      </c>
      <c r="C12" s="30">
        <v>203147</v>
      </c>
      <c r="D12" s="30">
        <v>591953</v>
      </c>
      <c r="E12" s="30">
        <v>862788</v>
      </c>
      <c r="F12" s="31">
        <v>867490</v>
      </c>
      <c r="G12" s="32">
        <v>2329139</v>
      </c>
      <c r="H12" s="32">
        <v>2329139</v>
      </c>
      <c r="I12" s="32">
        <v>2329139</v>
      </c>
      <c r="J12" s="32">
        <v>2329139</v>
      </c>
      <c r="K12" s="32">
        <v>2329139</v>
      </c>
      <c r="L12" s="33">
        <v>2329139</v>
      </c>
      <c r="M12" s="34">
        <f t="shared" si="3"/>
        <v>2266547.2316281609</v>
      </c>
      <c r="N12" s="34">
        <f t="shared" si="3"/>
        <v>6604524.9666693807</v>
      </c>
      <c r="O12" s="34">
        <f t="shared" si="3"/>
        <v>9626279.2602499556</v>
      </c>
      <c r="P12" s="34">
        <f t="shared" si="3"/>
        <v>9678740.311031485</v>
      </c>
      <c r="Q12" s="34">
        <f t="shared" si="3"/>
        <v>25986618.323318496</v>
      </c>
      <c r="R12" s="34">
        <f t="shared" si="3"/>
        <v>25986618.323318496</v>
      </c>
      <c r="S12" s="34">
        <f t="shared" si="3"/>
        <v>25986618.323318496</v>
      </c>
      <c r="T12" s="34">
        <f t="shared" si="3"/>
        <v>25986618.323318496</v>
      </c>
      <c r="U12" s="34">
        <f t="shared" si="3"/>
        <v>25986618.323318496</v>
      </c>
      <c r="V12" s="34">
        <f t="shared" si="3"/>
        <v>25986618.323318496</v>
      </c>
      <c r="W12" s="20">
        <f t="shared" si="1"/>
        <v>25783471.323318496</v>
      </c>
      <c r="X12" s="21">
        <f t="shared" si="4"/>
        <v>606669913.48984694</v>
      </c>
      <c r="Y12" s="22" t="e">
        <f>L12/#REF!</f>
        <v>#REF!</v>
      </c>
    </row>
    <row r="13" spans="2:25" s="13" customFormat="1" ht="20.100000000000001" customHeight="1" x14ac:dyDescent="0.3">
      <c r="B13" s="35" t="s">
        <v>33</v>
      </c>
      <c r="C13" s="36"/>
      <c r="D13" s="36"/>
      <c r="E13" s="36"/>
      <c r="F13" s="37"/>
      <c r="G13" s="38"/>
      <c r="H13" s="38"/>
      <c r="I13" s="38"/>
      <c r="J13" s="38"/>
      <c r="K13" s="38"/>
      <c r="L13" s="39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20">
        <f t="shared" si="1"/>
        <v>0</v>
      </c>
      <c r="X13" s="21">
        <f t="shared" si="4"/>
        <v>0</v>
      </c>
      <c r="Y13" s="22" t="e">
        <f>L13/#REF!</f>
        <v>#REF!</v>
      </c>
    </row>
    <row r="14" spans="2:25" s="13" customFormat="1" ht="20.100000000000001" customHeight="1" x14ac:dyDescent="0.3">
      <c r="B14" s="35" t="s">
        <v>34</v>
      </c>
      <c r="C14" s="36">
        <v>3174626</v>
      </c>
      <c r="D14" s="36">
        <v>2973354</v>
      </c>
      <c r="E14" s="36">
        <v>2511844</v>
      </c>
      <c r="F14" s="37">
        <v>2155094</v>
      </c>
      <c r="G14" s="38">
        <v>2615848.1678035478</v>
      </c>
      <c r="H14" s="38">
        <v>2499242.7517053215</v>
      </c>
      <c r="I14" s="38">
        <v>2382637.3356070947</v>
      </c>
      <c r="J14" s="38">
        <v>2266031.9195088684</v>
      </c>
      <c r="K14" s="38">
        <v>2149426.503410642</v>
      </c>
      <c r="L14" s="39">
        <v>2032821.0873124157</v>
      </c>
      <c r="M14" s="34">
        <f t="shared" ref="M14:V15" si="5">L14*M48</f>
        <v>2083373.9596377916</v>
      </c>
      <c r="N14" s="34">
        <f t="shared" si="5"/>
        <v>1951287.5836035069</v>
      </c>
      <c r="O14" s="34">
        <f t="shared" si="5"/>
        <v>1648417.9176609872</v>
      </c>
      <c r="P14" s="34">
        <f t="shared" si="5"/>
        <v>1414297.8480525413</v>
      </c>
      <c r="Q14" s="34">
        <f t="shared" si="5"/>
        <v>1716671.4930099293</v>
      </c>
      <c r="R14" s="34">
        <f t="shared" si="5"/>
        <v>1640148.2466647616</v>
      </c>
      <c r="S14" s="34">
        <f t="shared" si="5"/>
        <v>1563625.0003195936</v>
      </c>
      <c r="T14" s="34">
        <f t="shared" si="5"/>
        <v>1487101.7539744258</v>
      </c>
      <c r="U14" s="34">
        <f t="shared" si="5"/>
        <v>1410578.5076292583</v>
      </c>
      <c r="V14" s="34">
        <f t="shared" si="5"/>
        <v>1334055.2612840908</v>
      </c>
      <c r="W14" s="20">
        <f t="shared" si="1"/>
        <v>-1840570.7387159092</v>
      </c>
      <c r="X14" s="21">
        <f t="shared" si="4"/>
        <v>-43307546.793315507</v>
      </c>
      <c r="Y14" s="22" t="e">
        <f>L14/#REF!</f>
        <v>#REF!</v>
      </c>
    </row>
    <row r="15" spans="2:25" s="13" customFormat="1" ht="20.100000000000001" customHeight="1" x14ac:dyDescent="0.3">
      <c r="B15" s="40" t="s">
        <v>35</v>
      </c>
      <c r="C15" s="41">
        <v>57073</v>
      </c>
      <c r="D15" s="41">
        <v>56144</v>
      </c>
      <c r="E15" s="41">
        <v>54682</v>
      </c>
      <c r="F15" s="41">
        <v>53338</v>
      </c>
      <c r="G15" s="42">
        <v>55133</v>
      </c>
      <c r="H15" s="42">
        <v>54416</v>
      </c>
      <c r="I15" s="42">
        <v>53709</v>
      </c>
      <c r="J15" s="42">
        <v>53011</v>
      </c>
      <c r="K15" s="42">
        <v>52322</v>
      </c>
      <c r="L15" s="43">
        <v>51642</v>
      </c>
      <c r="M15" s="34">
        <f t="shared" si="5"/>
        <v>50132.056504286302</v>
      </c>
      <c r="N15" s="34">
        <f t="shared" si="5"/>
        <v>49316.037011838351</v>
      </c>
      <c r="O15" s="34">
        <f t="shared" si="5"/>
        <v>48031.838413389582</v>
      </c>
      <c r="P15" s="34">
        <f t="shared" si="5"/>
        <v>46851.289223023545</v>
      </c>
      <c r="Q15" s="34">
        <f t="shared" si="5"/>
        <v>48427.98996462104</v>
      </c>
      <c r="R15" s="34">
        <f t="shared" si="5"/>
        <v>47798.1880527963</v>
      </c>
      <c r="S15" s="34">
        <f t="shared" si="5"/>
        <v>47177.169989114169</v>
      </c>
      <c r="T15" s="34">
        <f t="shared" si="5"/>
        <v>46564.057388760375</v>
      </c>
      <c r="U15" s="34">
        <f t="shared" si="5"/>
        <v>45958.850251734933</v>
      </c>
      <c r="V15" s="34">
        <f t="shared" si="5"/>
        <v>45361.548578037829</v>
      </c>
      <c r="W15" s="20">
        <f t="shared" si="1"/>
        <v>-11711.451421962171</v>
      </c>
      <c r="X15" s="21">
        <f t="shared" si="4"/>
        <v>-275563.5628696981</v>
      </c>
      <c r="Y15" s="22" t="e">
        <f>L15/#REF!</f>
        <v>#REF!</v>
      </c>
    </row>
    <row r="16" spans="2:25" s="13" customFormat="1" ht="20.100000000000001" customHeight="1" x14ac:dyDescent="0.3">
      <c r="B16" s="44" t="s">
        <v>36</v>
      </c>
      <c r="C16" s="45">
        <f>SUM(C5:C15)</f>
        <v>43365832</v>
      </c>
      <c r="D16" s="45">
        <f>SUM(D5:D15)</f>
        <v>43631240</v>
      </c>
      <c r="E16" s="45">
        <f>SUM(E5:E15)</f>
        <v>43846880</v>
      </c>
      <c r="F16" s="45">
        <f t="shared" ref="F16:V16" si="6">SUM(F5:F15)</f>
        <v>43094694</v>
      </c>
      <c r="G16" s="45">
        <f t="shared" si="6"/>
        <v>45587248.052909546</v>
      </c>
      <c r="H16" s="45">
        <f t="shared" si="6"/>
        <v>45363789.478130504</v>
      </c>
      <c r="I16" s="45">
        <f t="shared" si="6"/>
        <v>45159824.004841991</v>
      </c>
      <c r="J16" s="45">
        <f t="shared" si="6"/>
        <v>44994003.032024264</v>
      </c>
      <c r="K16" s="45">
        <f t="shared" si="6"/>
        <v>44620924.998604842</v>
      </c>
      <c r="L16" s="45">
        <f t="shared" si="6"/>
        <v>44201324.796360679</v>
      </c>
      <c r="M16" s="45">
        <f t="shared" si="6"/>
        <v>43316113.420131363</v>
      </c>
      <c r="N16" s="45">
        <f t="shared" si="6"/>
        <v>47592761.893490762</v>
      </c>
      <c r="O16" s="45">
        <f t="shared" si="6"/>
        <v>50371347.807368085</v>
      </c>
      <c r="P16" s="45">
        <f t="shared" si="6"/>
        <v>49914953.633062057</v>
      </c>
      <c r="Q16" s="45">
        <f t="shared" si="6"/>
        <v>66859477.915934205</v>
      </c>
      <c r="R16" s="45">
        <f t="shared" si="6"/>
        <v>66586094.671414681</v>
      </c>
      <c r="S16" s="45">
        <f t="shared" si="6"/>
        <v>66422184.780259617</v>
      </c>
      <c r="T16" s="45">
        <f t="shared" si="6"/>
        <v>66180114.053122588</v>
      </c>
      <c r="U16" s="45">
        <f t="shared" si="6"/>
        <v>65816649.239573076</v>
      </c>
      <c r="V16" s="45">
        <f t="shared" si="6"/>
        <v>65475461.313458182</v>
      </c>
      <c r="W16" s="20">
        <f t="shared" si="1"/>
        <v>22109629.313458182</v>
      </c>
      <c r="X16" s="21">
        <f t="shared" si="4"/>
        <v>520226572.08136892</v>
      </c>
      <c r="Y16" s="22" t="e">
        <f>L16/#REF!</f>
        <v>#REF!</v>
      </c>
    </row>
    <row r="17" spans="2:23" ht="20.100000000000001" customHeight="1" x14ac:dyDescent="0.3">
      <c r="B17" s="3" t="s">
        <v>37</v>
      </c>
      <c r="C17" s="46"/>
      <c r="D17" s="46">
        <f t="shared" ref="D17:V17" si="7">D16/C16-1</f>
        <v>6.1202100307911067E-3</v>
      </c>
      <c r="E17" s="46">
        <f t="shared" si="7"/>
        <v>4.9423303119509043E-3</v>
      </c>
      <c r="F17" s="46">
        <f t="shared" si="7"/>
        <v>-1.7154835190097861E-2</v>
      </c>
      <c r="G17" s="46">
        <f t="shared" si="7"/>
        <v>5.7839001082350183E-2</v>
      </c>
      <c r="H17" s="46">
        <f t="shared" si="7"/>
        <v>-4.9017781139079064E-3</v>
      </c>
      <c r="I17" s="46">
        <f t="shared" si="7"/>
        <v>-4.4962177021574679E-3</v>
      </c>
      <c r="J17" s="46">
        <f t="shared" si="7"/>
        <v>-3.6718693323505303E-3</v>
      </c>
      <c r="K17" s="46">
        <f t="shared" si="7"/>
        <v>-8.2917279699227242E-3</v>
      </c>
      <c r="L17" s="46">
        <f t="shared" si="7"/>
        <v>-9.4036643627912753E-3</v>
      </c>
      <c r="M17" s="46">
        <f t="shared" si="7"/>
        <v>-2.0026806443190548E-2</v>
      </c>
      <c r="N17" s="46">
        <f t="shared" si="7"/>
        <v>9.8731121877887684E-2</v>
      </c>
      <c r="O17" s="46">
        <f t="shared" si="7"/>
        <v>5.8382531362554779E-2</v>
      </c>
      <c r="P17" s="46">
        <f t="shared" si="7"/>
        <v>-9.0605908750225339E-3</v>
      </c>
      <c r="Q17" s="46">
        <f t="shared" si="7"/>
        <v>0.33946789588217996</v>
      </c>
      <c r="R17" s="46">
        <f t="shared" si="7"/>
        <v>-4.0889228130567279E-3</v>
      </c>
      <c r="S17" s="46">
        <f t="shared" si="7"/>
        <v>-2.4616234360029798E-3</v>
      </c>
      <c r="T17" s="46">
        <f t="shared" si="7"/>
        <v>-3.6444258486506564E-3</v>
      </c>
      <c r="U17" s="46">
        <f t="shared" si="7"/>
        <v>-5.4920548075477749E-3</v>
      </c>
      <c r="V17" s="46">
        <f t="shared" si="7"/>
        <v>-5.1839151651882354E-3</v>
      </c>
    </row>
    <row r="18" spans="2:23" ht="20.100000000000001" customHeight="1" x14ac:dyDescent="0.3">
      <c r="B18" s="3" t="s">
        <v>38</v>
      </c>
      <c r="C18" s="47"/>
      <c r="D18" s="47">
        <f t="shared" ref="D18:V18" si="8">D16-C16</f>
        <v>265408</v>
      </c>
      <c r="E18" s="47">
        <f t="shared" si="8"/>
        <v>215640</v>
      </c>
      <c r="F18" s="47">
        <f t="shared" si="8"/>
        <v>-752186</v>
      </c>
      <c r="G18" s="47">
        <f t="shared" si="8"/>
        <v>2492554.0529095456</v>
      </c>
      <c r="H18" s="47">
        <f t="shared" si="8"/>
        <v>-223458.57477904111</v>
      </c>
      <c r="I18" s="47">
        <f t="shared" si="8"/>
        <v>-203965.47328851372</v>
      </c>
      <c r="J18" s="47">
        <f t="shared" si="8"/>
        <v>-165820.97281772643</v>
      </c>
      <c r="K18" s="47">
        <f t="shared" si="8"/>
        <v>-373078.03341942281</v>
      </c>
      <c r="L18" s="47">
        <f t="shared" si="8"/>
        <v>-419600.20224416256</v>
      </c>
      <c r="M18" s="47">
        <f t="shared" si="8"/>
        <v>-885211.376229316</v>
      </c>
      <c r="N18" s="47">
        <f t="shared" si="8"/>
        <v>4276648.4733593985</v>
      </c>
      <c r="O18" s="47">
        <f t="shared" si="8"/>
        <v>2778585.9138773233</v>
      </c>
      <c r="P18" s="47">
        <f t="shared" si="8"/>
        <v>-456394.17430602759</v>
      </c>
      <c r="Q18" s="47">
        <f t="shared" si="8"/>
        <v>16944524.282872148</v>
      </c>
      <c r="R18" s="47">
        <f t="shared" si="8"/>
        <v>-273383.24451952428</v>
      </c>
      <c r="S18" s="47">
        <f t="shared" si="8"/>
        <v>-163909.89115506411</v>
      </c>
      <c r="T18" s="47">
        <f t="shared" si="8"/>
        <v>-242070.72713702917</v>
      </c>
      <c r="U18" s="47">
        <f t="shared" si="8"/>
        <v>-363464.81354951113</v>
      </c>
      <c r="V18" s="47">
        <f t="shared" si="8"/>
        <v>-341187.92611489445</v>
      </c>
    </row>
    <row r="19" spans="2:23" ht="20.100000000000001" hidden="1" customHeight="1" x14ac:dyDescent="0.3">
      <c r="B19" s="1" t="s">
        <v>39</v>
      </c>
      <c r="C19" s="2"/>
      <c r="D19" s="2"/>
      <c r="E19" s="2"/>
      <c r="F19" s="2"/>
    </row>
    <row r="20" spans="2:23" ht="20.100000000000001" hidden="1" customHeight="1" x14ac:dyDescent="0.3">
      <c r="B20" s="4"/>
      <c r="C20" s="2"/>
      <c r="D20" s="2"/>
      <c r="E20" s="2"/>
      <c r="F20" s="2"/>
    </row>
    <row r="21" spans="2:23" ht="20.100000000000001" hidden="1" customHeight="1" thickBot="1" x14ac:dyDescent="0.3">
      <c r="B21" s="6" t="s">
        <v>40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8" t="s">
        <v>2</v>
      </c>
    </row>
    <row r="22" spans="2:23" s="13" customFormat="1" ht="20.100000000000001" hidden="1" customHeight="1" thickTop="1" x14ac:dyDescent="0.3">
      <c r="B22" s="9" t="s">
        <v>3</v>
      </c>
      <c r="C22" s="9"/>
      <c r="D22" s="9" t="s">
        <v>5</v>
      </c>
      <c r="E22" s="9" t="s">
        <v>6</v>
      </c>
      <c r="F22" s="9" t="s">
        <v>7</v>
      </c>
      <c r="G22" s="9" t="s">
        <v>8</v>
      </c>
      <c r="H22" s="9" t="s">
        <v>9</v>
      </c>
      <c r="I22" s="9" t="s">
        <v>10</v>
      </c>
      <c r="J22" s="9" t="s">
        <v>11</v>
      </c>
      <c r="K22" s="9" t="s">
        <v>12</v>
      </c>
      <c r="L22" s="9" t="s">
        <v>13</v>
      </c>
      <c r="M22" s="9" t="s">
        <v>13</v>
      </c>
      <c r="N22" s="9" t="s">
        <v>13</v>
      </c>
      <c r="O22" s="9" t="s">
        <v>13</v>
      </c>
      <c r="P22" s="9" t="s">
        <v>13</v>
      </c>
      <c r="Q22" s="9" t="s">
        <v>13</v>
      </c>
      <c r="R22" s="9" t="s">
        <v>13</v>
      </c>
      <c r="S22" s="9" t="s">
        <v>13</v>
      </c>
      <c r="T22" s="9" t="s">
        <v>13</v>
      </c>
      <c r="U22" s="9" t="s">
        <v>13</v>
      </c>
      <c r="V22" s="9" t="s">
        <v>13</v>
      </c>
      <c r="W22" s="12" t="s">
        <v>41</v>
      </c>
    </row>
    <row r="23" spans="2:23" s="13" customFormat="1" ht="20.100000000000001" hidden="1" customHeight="1" x14ac:dyDescent="0.3">
      <c r="B23" s="14" t="s">
        <v>25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20"/>
    </row>
    <row r="24" spans="2:23" s="13" customFormat="1" ht="20.100000000000001" hidden="1" customHeight="1" x14ac:dyDescent="0.3">
      <c r="B24" s="23" t="s">
        <v>26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1"/>
    </row>
    <row r="25" spans="2:23" s="13" customFormat="1" ht="20.100000000000001" hidden="1" customHeight="1" x14ac:dyDescent="0.3">
      <c r="B25" s="29" t="s">
        <v>27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3"/>
    </row>
    <row r="26" spans="2:23" s="13" customFormat="1" ht="20.100000000000001" hidden="1" customHeight="1" x14ac:dyDescent="0.3">
      <c r="B26" s="29" t="s">
        <v>28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3"/>
    </row>
    <row r="27" spans="2:23" s="13" customFormat="1" ht="20.100000000000001" hidden="1" customHeight="1" x14ac:dyDescent="0.3">
      <c r="B27" s="29" t="s">
        <v>42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3"/>
    </row>
    <row r="28" spans="2:23" s="13" customFormat="1" ht="20.100000000000001" hidden="1" customHeight="1" x14ac:dyDescent="0.3">
      <c r="B28" s="29" t="s">
        <v>30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3"/>
    </row>
    <row r="29" spans="2:23" s="13" customFormat="1" ht="20.100000000000001" hidden="1" customHeight="1" x14ac:dyDescent="0.3">
      <c r="B29" s="29" t="s">
        <v>31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3"/>
    </row>
    <row r="30" spans="2:23" s="13" customFormat="1" ht="20.100000000000001" hidden="1" customHeight="1" x14ac:dyDescent="0.3">
      <c r="B30" s="29" t="s">
        <v>32</v>
      </c>
      <c r="C30" s="52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3"/>
    </row>
    <row r="31" spans="2:23" s="13" customFormat="1" ht="20.100000000000001" hidden="1" customHeight="1" x14ac:dyDescent="0.3">
      <c r="B31" s="35" t="s">
        <v>33</v>
      </c>
      <c r="C31" s="55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7"/>
    </row>
    <row r="32" spans="2:23" s="13" customFormat="1" ht="20.100000000000001" hidden="1" customHeight="1" x14ac:dyDescent="0.3">
      <c r="B32" s="35" t="s">
        <v>34</v>
      </c>
      <c r="C32" s="55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7"/>
    </row>
    <row r="33" spans="2:23" s="13" customFormat="1" ht="20.100000000000001" hidden="1" customHeight="1" x14ac:dyDescent="0.3">
      <c r="B33" s="40" t="s">
        <v>35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9"/>
    </row>
    <row r="34" spans="2:23" s="13" customFormat="1" ht="20.100000000000001" hidden="1" customHeight="1" x14ac:dyDescent="0.3">
      <c r="B34" s="44" t="s">
        <v>36</v>
      </c>
      <c r="C34" s="45"/>
      <c r="D34" s="45">
        <f>SUM(D23:D33)</f>
        <v>0</v>
      </c>
      <c r="E34" s="45">
        <f>SUM(E23:E33)</f>
        <v>0</v>
      </c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60"/>
    </row>
    <row r="35" spans="2:23" ht="20.100000000000001" hidden="1" customHeight="1" x14ac:dyDescent="0.3"/>
    <row r="36" spans="2:23" ht="20.100000000000001" customHeight="1" x14ac:dyDescent="0.3">
      <c r="B36" s="3" t="s">
        <v>43</v>
      </c>
      <c r="C36" s="61"/>
      <c r="D36" s="61">
        <f t="shared" ref="D36:V36" si="9">D18/0.0425</f>
        <v>6244894.1176470583</v>
      </c>
      <c r="E36" s="61">
        <f t="shared" si="9"/>
        <v>5073882.3529411759</v>
      </c>
      <c r="F36" s="61">
        <f t="shared" si="9"/>
        <v>-17698494.117647059</v>
      </c>
      <c r="G36" s="61">
        <f t="shared" si="9"/>
        <v>58648330.656695187</v>
      </c>
      <c r="H36" s="61">
        <f t="shared" si="9"/>
        <v>-5257848.8183303783</v>
      </c>
      <c r="I36" s="61">
        <f t="shared" si="9"/>
        <v>-4799187.606788558</v>
      </c>
      <c r="J36" s="61">
        <f t="shared" si="9"/>
        <v>-3901669.9486523862</v>
      </c>
      <c r="K36" s="61">
        <f t="shared" si="9"/>
        <v>-8778306.6686923001</v>
      </c>
      <c r="L36" s="61">
        <f t="shared" si="9"/>
        <v>-9872945.9351567663</v>
      </c>
      <c r="M36" s="61">
        <f t="shared" si="9"/>
        <v>-20828502.97010155</v>
      </c>
      <c r="N36" s="61">
        <f t="shared" si="9"/>
        <v>100627022.90257408</v>
      </c>
      <c r="O36" s="61">
        <f t="shared" si="9"/>
        <v>65378492.09123113</v>
      </c>
      <c r="P36" s="61">
        <f t="shared" si="9"/>
        <v>-10738686.454259472</v>
      </c>
      <c r="Q36" s="61">
        <f t="shared" si="9"/>
        <v>398694689.0087564</v>
      </c>
      <c r="R36" s="61">
        <f t="shared" si="9"/>
        <v>-6432546.9298711587</v>
      </c>
      <c r="S36" s="61">
        <f t="shared" si="9"/>
        <v>-3856703.3212956255</v>
      </c>
      <c r="T36" s="61">
        <f t="shared" si="9"/>
        <v>-5695781.8149889214</v>
      </c>
      <c r="U36" s="61">
        <f t="shared" si="9"/>
        <v>-8552113.2599884961</v>
      </c>
      <c r="V36" s="61">
        <f t="shared" si="9"/>
        <v>-8027951.2027033987</v>
      </c>
      <c r="W36" s="62">
        <f>W16/0.0425</f>
        <v>520226572.08136892</v>
      </c>
    </row>
    <row r="37" spans="2:23" ht="20.100000000000001" customHeight="1" thickBot="1" x14ac:dyDescent="0.35"/>
    <row r="38" spans="2:23" ht="20.100000000000001" customHeight="1" thickTop="1" x14ac:dyDescent="0.3">
      <c r="B38" s="9" t="s">
        <v>3</v>
      </c>
      <c r="C38" s="9" t="s">
        <v>4</v>
      </c>
      <c r="D38" s="9" t="s">
        <v>5</v>
      </c>
      <c r="E38" s="9" t="s">
        <v>6</v>
      </c>
      <c r="F38" s="9" t="s">
        <v>7</v>
      </c>
      <c r="G38" s="9" t="s">
        <v>8</v>
      </c>
      <c r="H38" s="9" t="s">
        <v>9</v>
      </c>
      <c r="I38" s="9" t="s">
        <v>10</v>
      </c>
      <c r="J38" s="9" t="s">
        <v>11</v>
      </c>
      <c r="K38" s="9" t="s">
        <v>12</v>
      </c>
      <c r="L38" s="10" t="s">
        <v>13</v>
      </c>
      <c r="M38" s="10" t="s">
        <v>14</v>
      </c>
      <c r="N38" s="10" t="s">
        <v>15</v>
      </c>
      <c r="O38" s="10" t="s">
        <v>16</v>
      </c>
      <c r="P38" s="10" t="s">
        <v>17</v>
      </c>
      <c r="Q38" s="10" t="s">
        <v>18</v>
      </c>
      <c r="R38" s="10" t="s">
        <v>19</v>
      </c>
      <c r="S38" s="10" t="s">
        <v>20</v>
      </c>
      <c r="T38" s="10" t="s">
        <v>21</v>
      </c>
      <c r="U38" s="10" t="s">
        <v>22</v>
      </c>
      <c r="V38" s="63" t="s">
        <v>23</v>
      </c>
      <c r="W38" s="12" t="s">
        <v>44</v>
      </c>
    </row>
    <row r="39" spans="2:23" ht="20.100000000000001" customHeight="1" x14ac:dyDescent="0.3">
      <c r="B39" s="14" t="s">
        <v>25</v>
      </c>
      <c r="C39" s="64" t="e">
        <f>C5/#REF!</f>
        <v>#REF!</v>
      </c>
      <c r="D39" s="64">
        <f t="shared" ref="D39:S50" si="10">D5/C5</f>
        <v>1.002964773078088</v>
      </c>
      <c r="E39" s="64">
        <f t="shared" si="10"/>
        <v>1.0141975104230438</v>
      </c>
      <c r="F39" s="64">
        <f t="shared" si="10"/>
        <v>0.99326240478171446</v>
      </c>
      <c r="G39" s="65">
        <f t="shared" si="10"/>
        <v>1.008485079214074</v>
      </c>
      <c r="H39" s="65">
        <f t="shared" si="10"/>
        <v>1.0018305929868898</v>
      </c>
      <c r="I39" s="65">
        <f t="shared" si="10"/>
        <v>1.0048074939514295</v>
      </c>
      <c r="J39" s="65">
        <f t="shared" si="10"/>
        <v>1.0038202032954953</v>
      </c>
      <c r="K39" s="65">
        <f t="shared" si="10"/>
        <v>0.99787428148908364</v>
      </c>
      <c r="L39" s="66">
        <f t="shared" si="10"/>
        <v>0.99490090621010874</v>
      </c>
      <c r="M39" s="67">
        <v>0.99490090621010874</v>
      </c>
      <c r="N39" s="67">
        <v>1.0029999999999999</v>
      </c>
      <c r="O39" s="67">
        <v>1.0009999999999999</v>
      </c>
      <c r="P39" s="67">
        <v>0.997</v>
      </c>
      <c r="Q39" s="67">
        <v>0.99787428148908364</v>
      </c>
      <c r="R39" s="67">
        <v>0.997</v>
      </c>
      <c r="S39" s="67">
        <v>1.0029999999999999</v>
      </c>
      <c r="T39" s="67">
        <v>0.99787428148908364</v>
      </c>
      <c r="U39" s="67">
        <v>0.99490090621010874</v>
      </c>
      <c r="V39" s="68">
        <v>0.99490090621010874</v>
      </c>
      <c r="W39" s="69" t="e">
        <f>W5/#REF!</f>
        <v>#REF!</v>
      </c>
    </row>
    <row r="40" spans="2:23" ht="20.100000000000001" customHeight="1" x14ac:dyDescent="0.3">
      <c r="B40" s="23" t="s">
        <v>26</v>
      </c>
      <c r="C40" s="70" t="e">
        <f>C6/#REF!</f>
        <v>#REF!</v>
      </c>
      <c r="D40" s="70">
        <f t="shared" si="10"/>
        <v>0.99850686852433423</v>
      </c>
      <c r="E40" s="70">
        <f t="shared" si="10"/>
        <v>1.0095157366434879</v>
      </c>
      <c r="F40" s="70">
        <f t="shared" si="10"/>
        <v>0.98950896351500717</v>
      </c>
      <c r="G40" s="71">
        <f t="shared" si="10"/>
        <v>0.98411877928926705</v>
      </c>
      <c r="H40" s="71">
        <f t="shared" si="10"/>
        <v>0.98087096753067271</v>
      </c>
      <c r="I40" s="71">
        <f t="shared" si="10"/>
        <v>0.98087271881146998</v>
      </c>
      <c r="J40" s="71">
        <f t="shared" si="10"/>
        <v>0.98087427106970304</v>
      </c>
      <c r="K40" s="71">
        <f t="shared" si="10"/>
        <v>0.98087682277231614</v>
      </c>
      <c r="L40" s="72">
        <f t="shared" si="10"/>
        <v>0.98087906022807525</v>
      </c>
      <c r="M40" s="73">
        <v>0.99787428148908364</v>
      </c>
      <c r="N40" s="73">
        <v>0.99490090621010874</v>
      </c>
      <c r="O40" s="73">
        <v>0.99490090621010874</v>
      </c>
      <c r="P40" s="73">
        <v>0.99787428148908364</v>
      </c>
      <c r="Q40" s="73">
        <v>0.99490090621010874</v>
      </c>
      <c r="R40" s="73">
        <v>0.99490090621010874</v>
      </c>
      <c r="S40" s="73">
        <v>0.99787428148908364</v>
      </c>
      <c r="T40" s="73">
        <v>0.99490090621010874</v>
      </c>
      <c r="U40" s="73">
        <v>0.99490090621010874</v>
      </c>
      <c r="V40" s="74">
        <v>0.99787428148908364</v>
      </c>
      <c r="W40" s="75" t="e">
        <f>W6/#REF!</f>
        <v>#REF!</v>
      </c>
    </row>
    <row r="41" spans="2:23" ht="20.100000000000001" customHeight="1" x14ac:dyDescent="0.3">
      <c r="B41" s="29" t="s">
        <v>27</v>
      </c>
      <c r="C41" s="76" t="e">
        <f>C7/#REF!</f>
        <v>#REF!</v>
      </c>
      <c r="D41" s="76">
        <f t="shared" si="10"/>
        <v>0.98655839952248658</v>
      </c>
      <c r="E41" s="76">
        <f t="shared" si="10"/>
        <v>0.98954067838718629</v>
      </c>
      <c r="F41" s="76">
        <f t="shared" si="10"/>
        <v>0.98967085257556719</v>
      </c>
      <c r="G41" s="77">
        <f t="shared" si="10"/>
        <v>1.019896415260573</v>
      </c>
      <c r="H41" s="77">
        <f t="shared" si="10"/>
        <v>0.98299999999999998</v>
      </c>
      <c r="I41" s="77">
        <f t="shared" si="10"/>
        <v>0.97900000000000009</v>
      </c>
      <c r="J41" s="77">
        <f t="shared" si="10"/>
        <v>0.98099999999999998</v>
      </c>
      <c r="K41" s="77">
        <f t="shared" si="10"/>
        <v>0.97599999999999987</v>
      </c>
      <c r="L41" s="78">
        <f t="shared" si="10"/>
        <v>0.97799999999999998</v>
      </c>
      <c r="M41" s="79">
        <v>0.95026407907986765</v>
      </c>
      <c r="N41" s="79">
        <v>0.98655839952248658</v>
      </c>
      <c r="O41" s="79">
        <v>0.98954067838718629</v>
      </c>
      <c r="P41" s="79">
        <v>0.98967085257556719</v>
      </c>
      <c r="Q41" s="79">
        <v>1.019896415260573</v>
      </c>
      <c r="R41" s="79">
        <v>0.98299999999999998</v>
      </c>
      <c r="S41" s="79">
        <v>0.97900000000000009</v>
      </c>
      <c r="T41" s="79">
        <v>0.98099999999999998</v>
      </c>
      <c r="U41" s="79">
        <v>0.97599999999999987</v>
      </c>
      <c r="V41" s="80">
        <v>0.97799999999999998</v>
      </c>
      <c r="W41" s="81" t="e">
        <f>W7/#REF!</f>
        <v>#REF!</v>
      </c>
    </row>
    <row r="42" spans="2:23" ht="20.100000000000001" customHeight="1" x14ac:dyDescent="0.3">
      <c r="B42" s="29" t="s">
        <v>28</v>
      </c>
      <c r="C42" s="76" t="e">
        <f>C8/#REF!</f>
        <v>#REF!</v>
      </c>
      <c r="D42" s="76">
        <f t="shared" si="10"/>
        <v>0.99132729836648936</v>
      </c>
      <c r="E42" s="76">
        <f t="shared" si="10"/>
        <v>0.99728747620724012</v>
      </c>
      <c r="F42" s="76">
        <f t="shared" si="10"/>
        <v>0.98816788960526125</v>
      </c>
      <c r="G42" s="77">
        <f t="shared" si="10"/>
        <v>1.1092979975587425</v>
      </c>
      <c r="H42" s="77">
        <f t="shared" si="10"/>
        <v>1.002</v>
      </c>
      <c r="I42" s="77">
        <f t="shared" si="10"/>
        <v>1.0049999999999999</v>
      </c>
      <c r="J42" s="77">
        <f t="shared" si="10"/>
        <v>1.0069999999999999</v>
      </c>
      <c r="K42" s="77">
        <f t="shared" si="10"/>
        <v>1.006</v>
      </c>
      <c r="L42" s="78">
        <f t="shared" si="10"/>
        <v>1.002</v>
      </c>
      <c r="M42" s="79">
        <v>0.95421754750367582</v>
      </c>
      <c r="N42" s="79">
        <v>0.99132729836648936</v>
      </c>
      <c r="O42" s="79">
        <v>0.99728747620724012</v>
      </c>
      <c r="P42" s="79">
        <v>0.98816788960526125</v>
      </c>
      <c r="Q42" s="79">
        <v>1.1092979975587425</v>
      </c>
      <c r="R42" s="79">
        <v>1.002</v>
      </c>
      <c r="S42" s="79">
        <v>1.0049999999999999</v>
      </c>
      <c r="T42" s="79">
        <v>1.0069999999999999</v>
      </c>
      <c r="U42" s="79">
        <v>1.006</v>
      </c>
      <c r="V42" s="80">
        <v>1.002</v>
      </c>
      <c r="W42" s="81" t="e">
        <f>W8/#REF!</f>
        <v>#REF!</v>
      </c>
    </row>
    <row r="43" spans="2:23" ht="20.100000000000001" customHeight="1" x14ac:dyDescent="0.3">
      <c r="B43" s="29" t="s">
        <v>29</v>
      </c>
      <c r="C43" s="76" t="e">
        <f>C9/#REF!</f>
        <v>#REF!</v>
      </c>
      <c r="D43" s="76">
        <f t="shared" si="10"/>
        <v>0.99700316423685764</v>
      </c>
      <c r="E43" s="76">
        <f t="shared" si="10"/>
        <v>1.0309686933546345</v>
      </c>
      <c r="F43" s="76">
        <f t="shared" si="10"/>
        <v>0.98708480052337189</v>
      </c>
      <c r="G43" s="77">
        <f t="shared" si="10"/>
        <v>0.99509448401512302</v>
      </c>
      <c r="H43" s="77">
        <f t="shared" si="10"/>
        <v>0.98499994355576126</v>
      </c>
      <c r="I43" s="77">
        <f t="shared" si="10"/>
        <v>0.98999977078480417</v>
      </c>
      <c r="J43" s="77">
        <f t="shared" si="10"/>
        <v>0.98700028290139619</v>
      </c>
      <c r="K43" s="77">
        <f t="shared" si="10"/>
        <v>0.98599997067749645</v>
      </c>
      <c r="L43" s="78">
        <f t="shared" si="10"/>
        <v>0.99000031225790719</v>
      </c>
      <c r="M43" s="79">
        <v>0.94001708861437583</v>
      </c>
      <c r="N43" s="79">
        <v>0.99700316423685764</v>
      </c>
      <c r="O43" s="79">
        <v>1.0309686933546345</v>
      </c>
      <c r="P43" s="79">
        <v>0.98708480052337189</v>
      </c>
      <c r="Q43" s="79">
        <v>0.99509448401512302</v>
      </c>
      <c r="R43" s="79">
        <v>0.98499994355576126</v>
      </c>
      <c r="S43" s="79">
        <v>0.98999977078480417</v>
      </c>
      <c r="T43" s="79">
        <v>0.98700028290139619</v>
      </c>
      <c r="U43" s="79">
        <v>0.98599997067749645</v>
      </c>
      <c r="V43" s="80">
        <v>0.99000031225790719</v>
      </c>
      <c r="W43" s="81" t="e">
        <f>W9/#REF!</f>
        <v>#REF!</v>
      </c>
    </row>
    <row r="44" spans="2:23" ht="20.100000000000001" customHeight="1" x14ac:dyDescent="0.3">
      <c r="B44" s="29" t="s">
        <v>30</v>
      </c>
      <c r="C44" s="76" t="e">
        <f>C10/#REF!</f>
        <v>#REF!</v>
      </c>
      <c r="D44" s="76">
        <f t="shared" si="10"/>
        <v>1.0056584893241616</v>
      </c>
      <c r="E44" s="76">
        <f t="shared" si="10"/>
        <v>0.99901471160806998</v>
      </c>
      <c r="F44" s="76">
        <f t="shared" si="10"/>
        <v>0.98547310723557557</v>
      </c>
      <c r="G44" s="77">
        <f t="shared" si="10"/>
        <v>1.0024929700710112</v>
      </c>
      <c r="H44" s="77">
        <f t="shared" si="10"/>
        <v>0.9850000000000001</v>
      </c>
      <c r="I44" s="77">
        <f t="shared" si="10"/>
        <v>0.98199999999999998</v>
      </c>
      <c r="J44" s="77">
        <f t="shared" si="10"/>
        <v>0.98299999999999998</v>
      </c>
      <c r="K44" s="77">
        <f t="shared" si="10"/>
        <v>0.98199999999999998</v>
      </c>
      <c r="L44" s="78">
        <f t="shared" si="10"/>
        <v>0.98100000000000009</v>
      </c>
      <c r="M44" s="79">
        <v>0.94461741053454018</v>
      </c>
      <c r="N44" s="79">
        <v>1.0056584893241616</v>
      </c>
      <c r="O44" s="79">
        <v>0.99901471160806998</v>
      </c>
      <c r="P44" s="79">
        <v>0.98547310723557557</v>
      </c>
      <c r="Q44" s="79">
        <v>1.0024929700710112</v>
      </c>
      <c r="R44" s="79">
        <v>0.9850000000000001</v>
      </c>
      <c r="S44" s="79">
        <v>0.98199999999999998</v>
      </c>
      <c r="T44" s="79">
        <v>0.98299999999999998</v>
      </c>
      <c r="U44" s="79">
        <v>0.98199999999999998</v>
      </c>
      <c r="V44" s="80">
        <v>0.98100000000000009</v>
      </c>
      <c r="W44" s="81" t="e">
        <f>W10/#REF!</f>
        <v>#REF!</v>
      </c>
    </row>
    <row r="45" spans="2:23" ht="20.100000000000001" customHeight="1" x14ac:dyDescent="0.3">
      <c r="B45" s="29" t="s">
        <v>31</v>
      </c>
      <c r="C45" s="76" t="e">
        <f>C11/#REF!</f>
        <v>#REF!</v>
      </c>
      <c r="D45" s="76">
        <f t="shared" si="10"/>
        <v>1.0024238227146813</v>
      </c>
      <c r="E45" s="76">
        <f t="shared" si="10"/>
        <v>1.1195646061774511</v>
      </c>
      <c r="F45" s="76">
        <f t="shared" si="10"/>
        <v>0.8963148189339093</v>
      </c>
      <c r="G45" s="77">
        <f t="shared" si="10"/>
        <v>0.92453879929714178</v>
      </c>
      <c r="H45" s="77">
        <f t="shared" si="10"/>
        <v>1.0791093755411629</v>
      </c>
      <c r="I45" s="77">
        <f t="shared" si="10"/>
        <v>0.87972654729857136</v>
      </c>
      <c r="J45" s="77">
        <f t="shared" si="10"/>
        <v>1.0735231076532985</v>
      </c>
      <c r="K45" s="77">
        <f t="shared" si="10"/>
        <v>0.88436703483432455</v>
      </c>
      <c r="L45" s="78">
        <f t="shared" si="10"/>
        <v>1.0682150062445961</v>
      </c>
      <c r="M45" s="79">
        <v>0.89904039325415641</v>
      </c>
      <c r="N45" s="79">
        <v>1.0024238227146813</v>
      </c>
      <c r="O45" s="79">
        <v>1.1195646061774511</v>
      </c>
      <c r="P45" s="79">
        <v>0.8963148189339093</v>
      </c>
      <c r="Q45" s="79">
        <v>0.92453879929714178</v>
      </c>
      <c r="R45" s="79">
        <v>1.0791093755411629</v>
      </c>
      <c r="S45" s="79">
        <v>0.87972654729857136</v>
      </c>
      <c r="T45" s="79">
        <v>1.0735231076532985</v>
      </c>
      <c r="U45" s="79">
        <v>0.88436703483432455</v>
      </c>
      <c r="V45" s="80">
        <v>1.0682150062445961</v>
      </c>
      <c r="W45" s="81" t="e">
        <f>W11/#REF!</f>
        <v>#REF!</v>
      </c>
    </row>
    <row r="46" spans="2:23" ht="20.100000000000001" customHeight="1" x14ac:dyDescent="0.3">
      <c r="B46" s="29" t="s">
        <v>32</v>
      </c>
      <c r="C46" s="76" t="e">
        <f>C12/#REF!</f>
        <v>#REF!</v>
      </c>
      <c r="D46" s="76">
        <f t="shared" si="10"/>
        <v>2.9139145544851757</v>
      </c>
      <c r="E46" s="76">
        <f t="shared" si="10"/>
        <v>1.4575278780578864</v>
      </c>
      <c r="F46" s="76">
        <f t="shared" si="10"/>
        <v>1.0054497744521249</v>
      </c>
      <c r="G46" s="77">
        <f t="shared" si="10"/>
        <v>2.6849174053879583</v>
      </c>
      <c r="H46" s="77">
        <f t="shared" si="10"/>
        <v>1</v>
      </c>
      <c r="I46" s="77">
        <f t="shared" si="10"/>
        <v>1</v>
      </c>
      <c r="J46" s="77">
        <f t="shared" si="10"/>
        <v>1</v>
      </c>
      <c r="K46" s="77">
        <f t="shared" si="10"/>
        <v>1</v>
      </c>
      <c r="L46" s="78">
        <f t="shared" si="10"/>
        <v>1</v>
      </c>
      <c r="M46" s="79">
        <v>0.97312664964528139</v>
      </c>
      <c r="N46" s="79">
        <v>2.9139145544851757</v>
      </c>
      <c r="O46" s="79">
        <v>1.4575278780578864</v>
      </c>
      <c r="P46" s="79">
        <v>1.0054497744521249</v>
      </c>
      <c r="Q46" s="79">
        <v>2.6849174053879583</v>
      </c>
      <c r="R46" s="79">
        <v>1</v>
      </c>
      <c r="S46" s="79">
        <v>1</v>
      </c>
      <c r="T46" s="79">
        <v>1</v>
      </c>
      <c r="U46" s="79">
        <v>1</v>
      </c>
      <c r="V46" s="80">
        <v>1</v>
      </c>
      <c r="W46" s="81" t="e">
        <f>W12/#REF!</f>
        <v>#REF!</v>
      </c>
    </row>
    <row r="47" spans="2:23" ht="20.100000000000001" customHeight="1" x14ac:dyDescent="0.3">
      <c r="B47" s="35" t="s">
        <v>33</v>
      </c>
      <c r="C47" s="82"/>
      <c r="D47" s="82"/>
      <c r="E47" s="82"/>
      <c r="F47" s="82"/>
      <c r="G47" s="83"/>
      <c r="H47" s="83"/>
      <c r="I47" s="83"/>
      <c r="J47" s="83"/>
      <c r="K47" s="83"/>
      <c r="L47" s="84"/>
      <c r="M47" s="85"/>
      <c r="N47" s="85"/>
      <c r="O47" s="85"/>
      <c r="P47" s="85"/>
      <c r="Q47" s="85"/>
      <c r="R47" s="85"/>
      <c r="S47" s="85"/>
      <c r="T47" s="85"/>
      <c r="U47" s="85"/>
      <c r="V47" s="86"/>
      <c r="W47" s="87"/>
    </row>
    <row r="48" spans="2:23" ht="20.100000000000001" customHeight="1" x14ac:dyDescent="0.3">
      <c r="B48" s="35" t="s">
        <v>34</v>
      </c>
      <c r="C48" s="82" t="e">
        <f>C14/#REF!</f>
        <v>#REF!</v>
      </c>
      <c r="D48" s="82">
        <f t="shared" si="10"/>
        <v>0.93659977584761167</v>
      </c>
      <c r="E48" s="82">
        <f t="shared" si="10"/>
        <v>0.84478471113765796</v>
      </c>
      <c r="F48" s="82">
        <f t="shared" si="10"/>
        <v>0.85797286774178649</v>
      </c>
      <c r="G48" s="83">
        <f t="shared" si="10"/>
        <v>1.2137977126768242</v>
      </c>
      <c r="H48" s="83">
        <f t="shared" si="10"/>
        <v>0.95542347696879648</v>
      </c>
      <c r="I48" s="83">
        <f t="shared" si="10"/>
        <v>0.95334370139968883</v>
      </c>
      <c r="J48" s="83">
        <f t="shared" si="10"/>
        <v>0.95106035889070151</v>
      </c>
      <c r="K48" s="83">
        <f t="shared" si="10"/>
        <v>0.94854202401372223</v>
      </c>
      <c r="L48" s="84">
        <f t="shared" si="10"/>
        <v>0.9457504520795661</v>
      </c>
      <c r="M48" s="85">
        <v>1.0248683332935176</v>
      </c>
      <c r="N48" s="85">
        <v>0.93659977584761167</v>
      </c>
      <c r="O48" s="85">
        <v>0.84478471113765796</v>
      </c>
      <c r="P48" s="85">
        <v>0.85797286774178649</v>
      </c>
      <c r="Q48" s="85">
        <v>1.2137977126768242</v>
      </c>
      <c r="R48" s="85">
        <v>0.95542347696879648</v>
      </c>
      <c r="S48" s="85">
        <v>0.95334370139968883</v>
      </c>
      <c r="T48" s="85">
        <v>0.95106035889070151</v>
      </c>
      <c r="U48" s="85">
        <v>0.94854202401372223</v>
      </c>
      <c r="V48" s="86">
        <v>0.9457504520795661</v>
      </c>
      <c r="W48" s="87" t="e">
        <f>W14/#REF!</f>
        <v>#REF!</v>
      </c>
    </row>
    <row r="49" spans="2:23" ht="20.100000000000001" customHeight="1" x14ac:dyDescent="0.3">
      <c r="B49" s="40" t="s">
        <v>35</v>
      </c>
      <c r="C49" s="88" t="e">
        <f>C15/#REF!</f>
        <v>#REF!</v>
      </c>
      <c r="D49" s="88">
        <f t="shared" si="10"/>
        <v>0.9837226008795753</v>
      </c>
      <c r="E49" s="88">
        <f t="shared" si="10"/>
        <v>0.97395981761185524</v>
      </c>
      <c r="F49" s="88">
        <f t="shared" si="10"/>
        <v>0.97542152810796967</v>
      </c>
      <c r="G49" s="89">
        <f t="shared" si="10"/>
        <v>1.033653305335783</v>
      </c>
      <c r="H49" s="89">
        <f t="shared" si="10"/>
        <v>0.98699508461357077</v>
      </c>
      <c r="I49" s="89">
        <f t="shared" si="10"/>
        <v>0.98700749779476626</v>
      </c>
      <c r="J49" s="89">
        <f t="shared" si="10"/>
        <v>0.98700404029119881</v>
      </c>
      <c r="K49" s="89">
        <f t="shared" si="10"/>
        <v>0.98700269755333803</v>
      </c>
      <c r="L49" s="90">
        <f t="shared" si="10"/>
        <v>0.98700355490998049</v>
      </c>
      <c r="M49" s="91">
        <v>0.97076132807184656</v>
      </c>
      <c r="N49" s="91">
        <v>0.9837226008795753</v>
      </c>
      <c r="O49" s="91">
        <v>0.97395981761185524</v>
      </c>
      <c r="P49" s="91">
        <v>0.97542152810796967</v>
      </c>
      <c r="Q49" s="91">
        <v>1.033653305335783</v>
      </c>
      <c r="R49" s="91">
        <v>0.98699508461357077</v>
      </c>
      <c r="S49" s="91">
        <v>0.98700749779476626</v>
      </c>
      <c r="T49" s="91">
        <v>0.98700404029119881</v>
      </c>
      <c r="U49" s="91">
        <v>0.98700269755333803</v>
      </c>
      <c r="V49" s="92">
        <v>0.98700355490998049</v>
      </c>
      <c r="W49" s="93" t="e">
        <f>W15/#REF!</f>
        <v>#REF!</v>
      </c>
    </row>
    <row r="50" spans="2:23" ht="20.100000000000001" customHeight="1" thickBot="1" x14ac:dyDescent="0.35">
      <c r="B50" s="44" t="s">
        <v>36</v>
      </c>
      <c r="C50" s="94" t="e">
        <f>C16/#REF!</f>
        <v>#REF!</v>
      </c>
      <c r="D50" s="94">
        <f t="shared" si="10"/>
        <v>1.0061202100307911</v>
      </c>
      <c r="E50" s="94">
        <f t="shared" si="10"/>
        <v>1.0049423303119509</v>
      </c>
      <c r="F50" s="94">
        <f t="shared" si="10"/>
        <v>0.98284516480990214</v>
      </c>
      <c r="G50" s="94">
        <f t="shared" si="10"/>
        <v>1.0578390010823502</v>
      </c>
      <c r="H50" s="94">
        <f t="shared" si="10"/>
        <v>0.99509822188609209</v>
      </c>
      <c r="I50" s="94">
        <f t="shared" si="10"/>
        <v>0.99550378229784253</v>
      </c>
      <c r="J50" s="94">
        <f t="shared" si="10"/>
        <v>0.99632813066764947</v>
      </c>
      <c r="K50" s="94">
        <f t="shared" si="10"/>
        <v>0.99170827203007728</v>
      </c>
      <c r="L50" s="94">
        <f t="shared" si="10"/>
        <v>0.99059633563720872</v>
      </c>
      <c r="M50" s="95">
        <f t="shared" si="10"/>
        <v>0.97997319355680945</v>
      </c>
      <c r="N50" s="95">
        <f t="shared" si="10"/>
        <v>1.0987311218778877</v>
      </c>
      <c r="O50" s="95">
        <f t="shared" si="10"/>
        <v>1.0583825313625548</v>
      </c>
      <c r="P50" s="95">
        <f t="shared" si="10"/>
        <v>0.99093940912497747</v>
      </c>
      <c r="Q50" s="95">
        <f t="shared" si="10"/>
        <v>1.33946789588218</v>
      </c>
      <c r="R50" s="95">
        <f t="shared" si="10"/>
        <v>0.99591107718694327</v>
      </c>
      <c r="S50" s="95">
        <f t="shared" si="10"/>
        <v>0.99753837656399702</v>
      </c>
      <c r="T50" s="95">
        <f t="shared" ref="T50:V50" si="11">T16/S16</f>
        <v>0.99635557415134934</v>
      </c>
      <c r="U50" s="95">
        <f t="shared" si="11"/>
        <v>0.99450794519245223</v>
      </c>
      <c r="V50" s="95">
        <f t="shared" si="11"/>
        <v>0.99481608483481176</v>
      </c>
      <c r="W50" s="96" t="e">
        <f>W16/#REF!</f>
        <v>#REF!</v>
      </c>
    </row>
    <row r="51" spans="2:23" ht="20.100000000000001" customHeight="1" thickTop="1" x14ac:dyDescent="0.3"/>
    <row r="52" spans="2:23" ht="20.100000000000001" customHeight="1" x14ac:dyDescent="0.3">
      <c r="F52" s="47">
        <f>F5-E5</f>
        <v>-169208</v>
      </c>
      <c r="G52" s="47">
        <f t="shared" ref="G52:V52" si="12">G5-F5</f>
        <v>211658.57852399722</v>
      </c>
      <c r="H52" s="47">
        <f t="shared" si="12"/>
        <v>46051.231157049537</v>
      </c>
      <c r="I52" s="47">
        <f t="shared" si="12"/>
        <v>121160.89904840291</v>
      </c>
      <c r="J52" s="47">
        <f t="shared" si="12"/>
        <v>96741.558834917843</v>
      </c>
      <c r="K52" s="47">
        <f t="shared" si="12"/>
        <v>-54036.634535130113</v>
      </c>
      <c r="L52" s="47">
        <f t="shared" si="12"/>
        <v>-129345.51316514611</v>
      </c>
      <c r="M52" s="47">
        <f t="shared" si="12"/>
        <v>-128685.96826221794</v>
      </c>
      <c r="N52" s="47">
        <f t="shared" si="12"/>
        <v>75325.023454803973</v>
      </c>
      <c r="O52" s="47">
        <f t="shared" si="12"/>
        <v>25183.666175052524</v>
      </c>
      <c r="P52" s="47">
        <f t="shared" si="12"/>
        <v>-75626.549523696303</v>
      </c>
      <c r="Q52" s="47">
        <f t="shared" si="12"/>
        <v>-53426.157990176231</v>
      </c>
      <c r="R52" s="47">
        <f t="shared" si="12"/>
        <v>-75239.391401153058</v>
      </c>
      <c r="S52" s="47">
        <f t="shared" si="12"/>
        <v>75013.673226948828</v>
      </c>
      <c r="T52" s="47">
        <f t="shared" si="12"/>
        <v>-53312.10920387134</v>
      </c>
      <c r="U52" s="47">
        <f t="shared" si="12"/>
        <v>-127611.24341316521</v>
      </c>
      <c r="V52" s="47">
        <f t="shared" si="12"/>
        <v>-126960.54171435907</v>
      </c>
    </row>
    <row r="53" spans="2:23" ht="20.100000000000001" customHeight="1" x14ac:dyDescent="0.3">
      <c r="F53" s="62">
        <f>F52/0.0425</f>
        <v>-3981364.7058823528</v>
      </c>
      <c r="G53" s="62">
        <f t="shared" ref="G53:V53" si="13">G52/0.0425</f>
        <v>4980201.8476234637</v>
      </c>
      <c r="H53" s="62">
        <f t="shared" si="13"/>
        <v>1083558.3801658715</v>
      </c>
      <c r="I53" s="62">
        <f t="shared" si="13"/>
        <v>2850844.683491833</v>
      </c>
      <c r="J53" s="62">
        <f t="shared" si="13"/>
        <v>2276271.9725863021</v>
      </c>
      <c r="K53" s="62">
        <f t="shared" si="13"/>
        <v>-1271450.2243560026</v>
      </c>
      <c r="L53" s="62">
        <f t="shared" si="13"/>
        <v>-3043423.8391799084</v>
      </c>
      <c r="M53" s="62">
        <f t="shared" si="13"/>
        <v>-3027905.1355815982</v>
      </c>
      <c r="N53" s="62">
        <f t="shared" si="13"/>
        <v>1772353.4930542109</v>
      </c>
      <c r="O53" s="62">
        <f t="shared" si="13"/>
        <v>592556.85117770638</v>
      </c>
      <c r="P53" s="62">
        <f t="shared" si="13"/>
        <v>-1779448.2240869717</v>
      </c>
      <c r="Q53" s="62">
        <f t="shared" si="13"/>
        <v>-1257086.0703570878</v>
      </c>
      <c r="R53" s="62">
        <f t="shared" si="13"/>
        <v>-1770338.6212036011</v>
      </c>
      <c r="S53" s="62">
        <f t="shared" si="13"/>
        <v>1765027.6053399723</v>
      </c>
      <c r="T53" s="62">
        <f t="shared" si="13"/>
        <v>-1254402.569502855</v>
      </c>
      <c r="U53" s="62">
        <f t="shared" si="13"/>
        <v>-3002617.4920744752</v>
      </c>
      <c r="V53" s="62">
        <f t="shared" si="13"/>
        <v>-2987306.8638672722</v>
      </c>
    </row>
  </sheetData>
  <phoneticPr fontId="3" type="noConversion"/>
  <pageMargins left="0.7" right="0.7" top="0.75" bottom="0.75" header="0.3" footer="0.3"/>
  <pageSetup paperSize="12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공급량,판매량case_2045</vt:lpstr>
      <vt:lpstr>'공급량,판매량case_2045'!Print_Area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2026-10-14T02:25:37Z</dcterms:created>
  <dcterms:modified xsi:type="dcterms:W3CDTF">2026-10-14T03:24:46Z</dcterms:modified>
</cp:coreProperties>
</file>